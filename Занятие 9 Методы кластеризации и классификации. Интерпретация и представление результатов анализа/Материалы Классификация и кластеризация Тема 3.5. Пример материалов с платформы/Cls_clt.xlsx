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 activeTab="3"/>
  </bookViews>
  <sheets>
    <sheet name="Подготовка данных" sheetId="1" r:id="rId1"/>
    <sheet name="Датасет" sheetId="2" r:id="rId2"/>
    <sheet name="Метрики" sheetId="3" r:id="rId3"/>
    <sheet name="Кластеризация" sheetId="4" r:id="rId4"/>
  </sheets>
  <calcPr calcId="125725"/>
</workbook>
</file>

<file path=xl/calcChain.xml><?xml version="1.0" encoding="utf-8"?>
<calcChain xmlns="http://schemas.openxmlformats.org/spreadsheetml/2006/main">
  <c r="J39" i="4"/>
  <c r="K39"/>
  <c r="L39"/>
  <c r="M39"/>
  <c r="N39"/>
  <c r="O39"/>
  <c r="P39"/>
  <c r="Q39"/>
  <c r="J40"/>
  <c r="K40"/>
  <c r="L40"/>
  <c r="M40"/>
  <c r="N40"/>
  <c r="O40"/>
  <c r="P40"/>
  <c r="Q40"/>
  <c r="I40"/>
  <c r="I39"/>
  <c r="Q30"/>
  <c r="Q31"/>
  <c r="Q32"/>
  <c r="Q33"/>
  <c r="Q34"/>
  <c r="Q35"/>
  <c r="Q36"/>
  <c r="Q37"/>
  <c r="Q38"/>
  <c r="Q29"/>
  <c r="M30"/>
  <c r="N30"/>
  <c r="M31"/>
  <c r="N31"/>
  <c r="M32"/>
  <c r="N32"/>
  <c r="M33"/>
  <c r="N33"/>
  <c r="M34"/>
  <c r="N34"/>
  <c r="M35"/>
  <c r="N35"/>
  <c r="M36"/>
  <c r="N36"/>
  <c r="M37"/>
  <c r="N37"/>
  <c r="M38"/>
  <c r="N38"/>
  <c r="N29"/>
  <c r="M29"/>
  <c r="J24"/>
  <c r="I24"/>
  <c r="J23"/>
  <c r="I23"/>
  <c r="O12"/>
  <c r="O13"/>
  <c r="K10"/>
  <c r="K4"/>
  <c r="I13"/>
  <c r="I12"/>
  <c r="K3" s="1"/>
  <c r="J6"/>
  <c r="J11"/>
  <c r="J5"/>
  <c r="J4"/>
  <c r="J10"/>
  <c r="J3"/>
  <c r="J9"/>
  <c r="J8"/>
  <c r="J7"/>
  <c r="J2"/>
  <c r="J12" s="1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2"/>
  <c r="G10" i="3"/>
  <c r="G11"/>
  <c r="G9"/>
  <c r="G8"/>
  <c r="G102" i="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2"/>
  <c r="J138"/>
  <c r="C102"/>
  <c r="B102"/>
  <c r="E9"/>
  <c r="F9" s="1"/>
  <c r="E11"/>
  <c r="E12"/>
  <c r="F12" s="1"/>
  <c r="E13"/>
  <c r="E21"/>
  <c r="F21" s="1"/>
  <c r="E23"/>
  <c r="F23" s="1"/>
  <c r="E24"/>
  <c r="F24" s="1"/>
  <c r="E25"/>
  <c r="F25" s="1"/>
  <c r="E33"/>
  <c r="F33" s="1"/>
  <c r="E35"/>
  <c r="E36"/>
  <c r="F36" s="1"/>
  <c r="E37"/>
  <c r="F37" s="1"/>
  <c r="E45"/>
  <c r="F45" s="1"/>
  <c r="E47"/>
  <c r="E48"/>
  <c r="F48" s="1"/>
  <c r="E49"/>
  <c r="E57"/>
  <c r="F57" s="1"/>
  <c r="E59"/>
  <c r="F59" s="1"/>
  <c r="E60"/>
  <c r="F60" s="1"/>
  <c r="E61"/>
  <c r="F61" s="1"/>
  <c r="E69"/>
  <c r="F69" s="1"/>
  <c r="E71"/>
  <c r="E72"/>
  <c r="F72" s="1"/>
  <c r="E73"/>
  <c r="F73" s="1"/>
  <c r="E81"/>
  <c r="F81" s="1"/>
  <c r="E83"/>
  <c r="E84"/>
  <c r="F84" s="1"/>
  <c r="E85"/>
  <c r="E93"/>
  <c r="F93" s="1"/>
  <c r="E95"/>
  <c r="F95" s="1"/>
  <c r="E96"/>
  <c r="F96" s="1"/>
  <c r="E97"/>
  <c r="F97" s="1"/>
  <c r="F11"/>
  <c r="F13"/>
  <c r="F35"/>
  <c r="F47"/>
  <c r="F49"/>
  <c r="F71"/>
  <c r="F83"/>
  <c r="F85"/>
  <c r="D3"/>
  <c r="E3" s="1"/>
  <c r="F3" s="1"/>
  <c r="D4"/>
  <c r="E4" s="1"/>
  <c r="F4" s="1"/>
  <c r="D5"/>
  <c r="E5" s="1"/>
  <c r="F5" s="1"/>
  <c r="D6"/>
  <c r="E6" s="1"/>
  <c r="F6" s="1"/>
  <c r="D7"/>
  <c r="E7" s="1"/>
  <c r="F7" s="1"/>
  <c r="D8"/>
  <c r="E8" s="1"/>
  <c r="F8" s="1"/>
  <c r="D9"/>
  <c r="D10"/>
  <c r="E10" s="1"/>
  <c r="F10" s="1"/>
  <c r="D11"/>
  <c r="D12"/>
  <c r="D13"/>
  <c r="D14"/>
  <c r="E14" s="1"/>
  <c r="F14" s="1"/>
  <c r="D15"/>
  <c r="E15" s="1"/>
  <c r="F15" s="1"/>
  <c r="D16"/>
  <c r="E16" s="1"/>
  <c r="F16" s="1"/>
  <c r="D17"/>
  <c r="E17" s="1"/>
  <c r="F17" s="1"/>
  <c r="D18"/>
  <c r="E18" s="1"/>
  <c r="F18" s="1"/>
  <c r="D19"/>
  <c r="E19" s="1"/>
  <c r="F19" s="1"/>
  <c r="D20"/>
  <c r="E20" s="1"/>
  <c r="F20" s="1"/>
  <c r="D21"/>
  <c r="D22"/>
  <c r="E22" s="1"/>
  <c r="F22" s="1"/>
  <c r="D23"/>
  <c r="D24"/>
  <c r="D25"/>
  <c r="D26"/>
  <c r="E26" s="1"/>
  <c r="F26" s="1"/>
  <c r="D27"/>
  <c r="E27" s="1"/>
  <c r="F27" s="1"/>
  <c r="D28"/>
  <c r="E28" s="1"/>
  <c r="F28" s="1"/>
  <c r="D29"/>
  <c r="E29" s="1"/>
  <c r="F29" s="1"/>
  <c r="D30"/>
  <c r="E30" s="1"/>
  <c r="F30" s="1"/>
  <c r="D31"/>
  <c r="E31" s="1"/>
  <c r="F31" s="1"/>
  <c r="D32"/>
  <c r="E32" s="1"/>
  <c r="F32" s="1"/>
  <c r="D33"/>
  <c r="D34"/>
  <c r="E34" s="1"/>
  <c r="F34" s="1"/>
  <c r="D35"/>
  <c r="D36"/>
  <c r="D37"/>
  <c r="D38"/>
  <c r="E38" s="1"/>
  <c r="F38" s="1"/>
  <c r="D39"/>
  <c r="E39" s="1"/>
  <c r="F39" s="1"/>
  <c r="D40"/>
  <c r="E40" s="1"/>
  <c r="F40" s="1"/>
  <c r="D41"/>
  <c r="E41" s="1"/>
  <c r="F41" s="1"/>
  <c r="D42"/>
  <c r="E42" s="1"/>
  <c r="F42" s="1"/>
  <c r="D43"/>
  <c r="E43" s="1"/>
  <c r="F43" s="1"/>
  <c r="D44"/>
  <c r="E44" s="1"/>
  <c r="F44" s="1"/>
  <c r="D45"/>
  <c r="D46"/>
  <c r="E46" s="1"/>
  <c r="F46" s="1"/>
  <c r="D47"/>
  <c r="D48"/>
  <c r="D49"/>
  <c r="D50"/>
  <c r="E50" s="1"/>
  <c r="F50" s="1"/>
  <c r="D51"/>
  <c r="E51" s="1"/>
  <c r="F51" s="1"/>
  <c r="D52"/>
  <c r="E52" s="1"/>
  <c r="F52" s="1"/>
  <c r="D53"/>
  <c r="E53" s="1"/>
  <c r="F53" s="1"/>
  <c r="D54"/>
  <c r="E54" s="1"/>
  <c r="F54" s="1"/>
  <c r="D55"/>
  <c r="E55" s="1"/>
  <c r="F55" s="1"/>
  <c r="D56"/>
  <c r="E56" s="1"/>
  <c r="F56" s="1"/>
  <c r="D57"/>
  <c r="D58"/>
  <c r="E58" s="1"/>
  <c r="F58" s="1"/>
  <c r="D59"/>
  <c r="D60"/>
  <c r="D61"/>
  <c r="D62"/>
  <c r="E62" s="1"/>
  <c r="F62" s="1"/>
  <c r="D63"/>
  <c r="E63" s="1"/>
  <c r="F63" s="1"/>
  <c r="D64"/>
  <c r="E64" s="1"/>
  <c r="F64" s="1"/>
  <c r="D65"/>
  <c r="E65" s="1"/>
  <c r="F65" s="1"/>
  <c r="D66"/>
  <c r="E66" s="1"/>
  <c r="F66" s="1"/>
  <c r="D67"/>
  <c r="E67" s="1"/>
  <c r="F67" s="1"/>
  <c r="D68"/>
  <c r="E68" s="1"/>
  <c r="F68" s="1"/>
  <c r="D69"/>
  <c r="D70"/>
  <c r="E70" s="1"/>
  <c r="F70" s="1"/>
  <c r="D71"/>
  <c r="D72"/>
  <c r="D73"/>
  <c r="D74"/>
  <c r="E74" s="1"/>
  <c r="F74" s="1"/>
  <c r="D75"/>
  <c r="E75" s="1"/>
  <c r="F75" s="1"/>
  <c r="D76"/>
  <c r="E76" s="1"/>
  <c r="F76" s="1"/>
  <c r="D77"/>
  <c r="E77" s="1"/>
  <c r="F77" s="1"/>
  <c r="D78"/>
  <c r="E78" s="1"/>
  <c r="F78" s="1"/>
  <c r="D79"/>
  <c r="E79" s="1"/>
  <c r="F79" s="1"/>
  <c r="D80"/>
  <c r="E80" s="1"/>
  <c r="F80" s="1"/>
  <c r="D81"/>
  <c r="D82"/>
  <c r="E82" s="1"/>
  <c r="F82" s="1"/>
  <c r="D83"/>
  <c r="D84"/>
  <c r="D85"/>
  <c r="D86"/>
  <c r="E86" s="1"/>
  <c r="F86" s="1"/>
  <c r="D87"/>
  <c r="E87" s="1"/>
  <c r="F87" s="1"/>
  <c r="D88"/>
  <c r="E88" s="1"/>
  <c r="F88" s="1"/>
  <c r="D89"/>
  <c r="E89" s="1"/>
  <c r="F89" s="1"/>
  <c r="D90"/>
  <c r="E90" s="1"/>
  <c r="F90" s="1"/>
  <c r="D91"/>
  <c r="E91" s="1"/>
  <c r="F91" s="1"/>
  <c r="D92"/>
  <c r="E92" s="1"/>
  <c r="F92" s="1"/>
  <c r="D93"/>
  <c r="D94"/>
  <c r="E94" s="1"/>
  <c r="F94" s="1"/>
  <c r="D95"/>
  <c r="D96"/>
  <c r="D97"/>
  <c r="D98"/>
  <c r="E98" s="1"/>
  <c r="F98" s="1"/>
  <c r="D99"/>
  <c r="E99" s="1"/>
  <c r="F99" s="1"/>
  <c r="D100"/>
  <c r="E100" s="1"/>
  <c r="F100" s="1"/>
  <c r="D101"/>
  <c r="E101" s="1"/>
  <c r="F101" s="1"/>
  <c r="D2"/>
  <c r="E2" s="1"/>
  <c r="Q7"/>
  <c r="Q8"/>
  <c r="Q9"/>
  <c r="Q10"/>
  <c r="Q11"/>
  <c r="Q12"/>
  <c r="Q13"/>
  <c r="Q6"/>
  <c r="P7"/>
  <c r="P8"/>
  <c r="P9"/>
  <c r="P10"/>
  <c r="P11"/>
  <c r="P12"/>
  <c r="P13"/>
  <c r="P6"/>
  <c r="O7"/>
  <c r="O8"/>
  <c r="O9"/>
  <c r="O10"/>
  <c r="O11"/>
  <c r="O12"/>
  <c r="O13"/>
  <c r="O6"/>
  <c r="M13"/>
  <c r="M12"/>
  <c r="M11"/>
  <c r="M10"/>
  <c r="M9"/>
  <c r="M8"/>
  <c r="M7"/>
  <c r="M6"/>
  <c r="K7"/>
  <c r="K8"/>
  <c r="K9"/>
  <c r="K10"/>
  <c r="K11"/>
  <c r="K12"/>
  <c r="K13"/>
  <c r="K6"/>
  <c r="L13"/>
  <c r="J13"/>
  <c r="L12"/>
  <c r="J12"/>
  <c r="L11"/>
  <c r="J11"/>
  <c r="L10"/>
  <c r="J10"/>
  <c r="L9"/>
  <c r="J9"/>
  <c r="L8"/>
  <c r="J8"/>
  <c r="L7"/>
  <c r="J7"/>
  <c r="L6"/>
  <c r="J6"/>
  <c r="H117"/>
  <c r="H116"/>
  <c r="H114"/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2"/>
  <c r="L7" i="4" l="1"/>
  <c r="N10"/>
  <c r="L8"/>
  <c r="L3"/>
  <c r="J21" s="1"/>
  <c r="L9"/>
  <c r="I21"/>
  <c r="N3" s="1"/>
  <c r="N4"/>
  <c r="L5"/>
  <c r="L4"/>
  <c r="L10"/>
  <c r="K5"/>
  <c r="K11"/>
  <c r="K6"/>
  <c r="K2"/>
  <c r="J13"/>
  <c r="L11" s="1"/>
  <c r="K7"/>
  <c r="K8"/>
  <c r="K9"/>
  <c r="F2" i="2"/>
  <c r="F102" s="1"/>
  <c r="E102"/>
  <c r="D102"/>
  <c r="N7" i="4" l="1"/>
  <c r="N5"/>
  <c r="N11"/>
  <c r="K13"/>
  <c r="K12"/>
  <c r="I20"/>
  <c r="L6"/>
  <c r="N6" s="1"/>
  <c r="N8"/>
  <c r="N9"/>
  <c r="L2"/>
  <c r="M7" l="1"/>
  <c r="M10"/>
  <c r="M4"/>
  <c r="M3"/>
  <c r="L13"/>
  <c r="L12"/>
  <c r="J20"/>
  <c r="M11" s="1"/>
  <c r="N2"/>
  <c r="M2"/>
  <c r="N13" l="1"/>
  <c r="N12"/>
  <c r="M12"/>
  <c r="M13"/>
  <c r="M8"/>
  <c r="M9"/>
  <c r="M5"/>
  <c r="M6"/>
</calcChain>
</file>

<file path=xl/sharedStrings.xml><?xml version="1.0" encoding="utf-8"?>
<sst xmlns="http://schemas.openxmlformats.org/spreadsheetml/2006/main" count="90" uniqueCount="67">
  <si>
    <t>Рост</t>
  </si>
  <si>
    <t>№</t>
  </si>
  <si>
    <t>Рост (генератор)</t>
  </si>
  <si>
    <t>Класс</t>
  </si>
  <si>
    <t>X = Рост (фикс)</t>
  </si>
  <si>
    <t>Y = Баскетболист</t>
  </si>
  <si>
    <t>Y = баскетболист</t>
  </si>
  <si>
    <t>k</t>
  </si>
  <si>
    <t>k_int</t>
  </si>
  <si>
    <t>R</t>
  </si>
  <si>
    <t>h</t>
  </si>
  <si>
    <t>I1</t>
  </si>
  <si>
    <t>I2</t>
  </si>
  <si>
    <t>I3</t>
  </si>
  <si>
    <t>I4</t>
  </si>
  <si>
    <t>I5</t>
  </si>
  <si>
    <t>I6</t>
  </si>
  <si>
    <t>I7</t>
  </si>
  <si>
    <t>I8</t>
  </si>
  <si>
    <t>st</t>
  </si>
  <si>
    <t>end</t>
  </si>
  <si>
    <t>mid</t>
  </si>
  <si>
    <t>p</t>
  </si>
  <si>
    <t>p_фикс</t>
  </si>
  <si>
    <t>odds</t>
  </si>
  <si>
    <t>ln(odds)</t>
  </si>
  <si>
    <t>a1</t>
  </si>
  <si>
    <t>a0</t>
  </si>
  <si>
    <t>p^</t>
  </si>
  <si>
    <t>Y^</t>
  </si>
  <si>
    <t>Thr</t>
  </si>
  <si>
    <t>Y=Y^</t>
  </si>
  <si>
    <t>Срзнач</t>
  </si>
  <si>
    <t>Yreg</t>
  </si>
  <si>
    <t>logreg</t>
  </si>
  <si>
    <t>reg</t>
  </si>
  <si>
    <t>Y</t>
  </si>
  <si>
    <t>TP</t>
  </si>
  <si>
    <t>TN</t>
  </si>
  <si>
    <t>FP</t>
  </si>
  <si>
    <t>FN</t>
  </si>
  <si>
    <t>ppp</t>
  </si>
  <si>
    <t>Accuracy</t>
  </si>
  <si>
    <t>Precision</t>
  </si>
  <si>
    <t>Recall</t>
  </si>
  <si>
    <t>F1-score</t>
  </si>
  <si>
    <t>Шум</t>
  </si>
  <si>
    <t>Фикс</t>
  </si>
  <si>
    <t>Вес</t>
  </si>
  <si>
    <t>Среднее</t>
  </si>
  <si>
    <t>СтОт</t>
  </si>
  <si>
    <t>S1</t>
  </si>
  <si>
    <t>S2</t>
  </si>
  <si>
    <t>k = 2</t>
  </si>
  <si>
    <t>Step 1</t>
  </si>
  <si>
    <t>c1</t>
  </si>
  <si>
    <t>s1</t>
  </si>
  <si>
    <t>s2</t>
  </si>
  <si>
    <t>c2</t>
  </si>
  <si>
    <t>Cluster</t>
  </si>
  <si>
    <t>Distance 1</t>
  </si>
  <si>
    <t>Distance 2</t>
  </si>
  <si>
    <t>c1_new</t>
  </si>
  <si>
    <t>c2_new</t>
  </si>
  <si>
    <t>Step 2</t>
  </si>
  <si>
    <t>New_cluster</t>
  </si>
  <si>
    <t>No change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</si>
</sst>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Fill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scatterChart>
        <c:scatterStyle val="lineMarker"/>
        <c:ser>
          <c:idx val="0"/>
          <c:order val="0"/>
          <c:tx>
            <c:v>Регрессия по классу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8.3314304461942254E-2"/>
                  <c:y val="-3.2766477107028291E-2"/>
                </c:manualLayout>
              </c:layout>
              <c:numFmt formatCode="General" sourceLinked="0"/>
            </c:trendlineLbl>
          </c:trendline>
          <c:xVal>
            <c:numRef>
              <c:f>Датасет!$B$2:$B$101</c:f>
              <c:numCache>
                <c:formatCode>General</c:formatCode>
                <c:ptCount val="100"/>
                <c:pt idx="0">
                  <c:v>154</c:v>
                </c:pt>
                <c:pt idx="1">
                  <c:v>154</c:v>
                </c:pt>
                <c:pt idx="2">
                  <c:v>155</c:v>
                </c:pt>
                <c:pt idx="3">
                  <c:v>155</c:v>
                </c:pt>
                <c:pt idx="4">
                  <c:v>157</c:v>
                </c:pt>
                <c:pt idx="5">
                  <c:v>157</c:v>
                </c:pt>
                <c:pt idx="6">
                  <c:v>157</c:v>
                </c:pt>
                <c:pt idx="7">
                  <c:v>158</c:v>
                </c:pt>
                <c:pt idx="8">
                  <c:v>158</c:v>
                </c:pt>
                <c:pt idx="9">
                  <c:v>158</c:v>
                </c:pt>
                <c:pt idx="10">
                  <c:v>159</c:v>
                </c:pt>
                <c:pt idx="11">
                  <c:v>160</c:v>
                </c:pt>
                <c:pt idx="12">
                  <c:v>161</c:v>
                </c:pt>
                <c:pt idx="13">
                  <c:v>161</c:v>
                </c:pt>
                <c:pt idx="14">
                  <c:v>162</c:v>
                </c:pt>
                <c:pt idx="15">
                  <c:v>162</c:v>
                </c:pt>
                <c:pt idx="16">
                  <c:v>162</c:v>
                </c:pt>
                <c:pt idx="17">
                  <c:v>162</c:v>
                </c:pt>
                <c:pt idx="18">
                  <c:v>162</c:v>
                </c:pt>
                <c:pt idx="19">
                  <c:v>163</c:v>
                </c:pt>
                <c:pt idx="20">
                  <c:v>163</c:v>
                </c:pt>
                <c:pt idx="21">
                  <c:v>163</c:v>
                </c:pt>
                <c:pt idx="22">
                  <c:v>163</c:v>
                </c:pt>
                <c:pt idx="23">
                  <c:v>164</c:v>
                </c:pt>
                <c:pt idx="24">
                  <c:v>165</c:v>
                </c:pt>
                <c:pt idx="25">
                  <c:v>165</c:v>
                </c:pt>
                <c:pt idx="26">
                  <c:v>166</c:v>
                </c:pt>
                <c:pt idx="27">
                  <c:v>166</c:v>
                </c:pt>
                <c:pt idx="28">
                  <c:v>167</c:v>
                </c:pt>
                <c:pt idx="29">
                  <c:v>168</c:v>
                </c:pt>
                <c:pt idx="30">
                  <c:v>171</c:v>
                </c:pt>
                <c:pt idx="31">
                  <c:v>171</c:v>
                </c:pt>
                <c:pt idx="32">
                  <c:v>172</c:v>
                </c:pt>
                <c:pt idx="33">
                  <c:v>172</c:v>
                </c:pt>
                <c:pt idx="34">
                  <c:v>173</c:v>
                </c:pt>
                <c:pt idx="35">
                  <c:v>174</c:v>
                </c:pt>
                <c:pt idx="36">
                  <c:v>174</c:v>
                </c:pt>
                <c:pt idx="37">
                  <c:v>175</c:v>
                </c:pt>
                <c:pt idx="38">
                  <c:v>175</c:v>
                </c:pt>
                <c:pt idx="39">
                  <c:v>176</c:v>
                </c:pt>
                <c:pt idx="40">
                  <c:v>176</c:v>
                </c:pt>
                <c:pt idx="41">
                  <c:v>177</c:v>
                </c:pt>
                <c:pt idx="42">
                  <c:v>177</c:v>
                </c:pt>
                <c:pt idx="43">
                  <c:v>178</c:v>
                </c:pt>
                <c:pt idx="44">
                  <c:v>179</c:v>
                </c:pt>
                <c:pt idx="45">
                  <c:v>180</c:v>
                </c:pt>
                <c:pt idx="46">
                  <c:v>180</c:v>
                </c:pt>
                <c:pt idx="47">
                  <c:v>181</c:v>
                </c:pt>
                <c:pt idx="48">
                  <c:v>181</c:v>
                </c:pt>
                <c:pt idx="49">
                  <c:v>181</c:v>
                </c:pt>
                <c:pt idx="50">
                  <c:v>182</c:v>
                </c:pt>
                <c:pt idx="51">
                  <c:v>182</c:v>
                </c:pt>
                <c:pt idx="52">
                  <c:v>183</c:v>
                </c:pt>
                <c:pt idx="53">
                  <c:v>183</c:v>
                </c:pt>
                <c:pt idx="54">
                  <c:v>184</c:v>
                </c:pt>
                <c:pt idx="55">
                  <c:v>184</c:v>
                </c:pt>
                <c:pt idx="56">
                  <c:v>185</c:v>
                </c:pt>
                <c:pt idx="57">
                  <c:v>185</c:v>
                </c:pt>
                <c:pt idx="58">
                  <c:v>185</c:v>
                </c:pt>
                <c:pt idx="59">
                  <c:v>185</c:v>
                </c:pt>
                <c:pt idx="60">
                  <c:v>186</c:v>
                </c:pt>
                <c:pt idx="61">
                  <c:v>188</c:v>
                </c:pt>
                <c:pt idx="62">
                  <c:v>189</c:v>
                </c:pt>
                <c:pt idx="63">
                  <c:v>189</c:v>
                </c:pt>
                <c:pt idx="64">
                  <c:v>189</c:v>
                </c:pt>
                <c:pt idx="65">
                  <c:v>190</c:v>
                </c:pt>
                <c:pt idx="66">
                  <c:v>190</c:v>
                </c:pt>
                <c:pt idx="67">
                  <c:v>192</c:v>
                </c:pt>
                <c:pt idx="68">
                  <c:v>193</c:v>
                </c:pt>
                <c:pt idx="69">
                  <c:v>193</c:v>
                </c:pt>
                <c:pt idx="70">
                  <c:v>195</c:v>
                </c:pt>
                <c:pt idx="71">
                  <c:v>195</c:v>
                </c:pt>
                <c:pt idx="72">
                  <c:v>195</c:v>
                </c:pt>
                <c:pt idx="73">
                  <c:v>196</c:v>
                </c:pt>
                <c:pt idx="74">
                  <c:v>197</c:v>
                </c:pt>
                <c:pt idx="75">
                  <c:v>199</c:v>
                </c:pt>
                <c:pt idx="76">
                  <c:v>199</c:v>
                </c:pt>
                <c:pt idx="77">
                  <c:v>199</c:v>
                </c:pt>
                <c:pt idx="78">
                  <c:v>200</c:v>
                </c:pt>
                <c:pt idx="79">
                  <c:v>202</c:v>
                </c:pt>
                <c:pt idx="80">
                  <c:v>202</c:v>
                </c:pt>
                <c:pt idx="81">
                  <c:v>202</c:v>
                </c:pt>
                <c:pt idx="82">
                  <c:v>202</c:v>
                </c:pt>
                <c:pt idx="83">
                  <c:v>203</c:v>
                </c:pt>
                <c:pt idx="84">
                  <c:v>203</c:v>
                </c:pt>
                <c:pt idx="85">
                  <c:v>204</c:v>
                </c:pt>
                <c:pt idx="86">
                  <c:v>204</c:v>
                </c:pt>
                <c:pt idx="87">
                  <c:v>205</c:v>
                </c:pt>
                <c:pt idx="88">
                  <c:v>205</c:v>
                </c:pt>
                <c:pt idx="89">
                  <c:v>205</c:v>
                </c:pt>
                <c:pt idx="90">
                  <c:v>205</c:v>
                </c:pt>
                <c:pt idx="91">
                  <c:v>205</c:v>
                </c:pt>
                <c:pt idx="92">
                  <c:v>205</c:v>
                </c:pt>
                <c:pt idx="93">
                  <c:v>206</c:v>
                </c:pt>
                <c:pt idx="94">
                  <c:v>207</c:v>
                </c:pt>
                <c:pt idx="95">
                  <c:v>207</c:v>
                </c:pt>
                <c:pt idx="96">
                  <c:v>208</c:v>
                </c:pt>
                <c:pt idx="97">
                  <c:v>209</c:v>
                </c:pt>
                <c:pt idx="98">
                  <c:v>210</c:v>
                </c:pt>
                <c:pt idx="99">
                  <c:v>210</c:v>
                </c:pt>
              </c:numCache>
            </c:numRef>
          </c:xVal>
          <c:yVal>
            <c:numRef>
              <c:f>Датасет!$C$2:$C$101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</c:ser>
        <c:axId val="14934784"/>
        <c:axId val="14924800"/>
      </c:scatterChart>
      <c:valAx>
        <c:axId val="14934784"/>
        <c:scaling>
          <c:orientation val="minMax"/>
        </c:scaling>
        <c:axPos val="b"/>
        <c:numFmt formatCode="General" sourceLinked="1"/>
        <c:tickLblPos val="nextTo"/>
        <c:crossAx val="14924800"/>
        <c:crosses val="autoZero"/>
        <c:crossBetween val="midCat"/>
      </c:valAx>
      <c:valAx>
        <c:axId val="14924800"/>
        <c:scaling>
          <c:orientation val="minMax"/>
        </c:scaling>
        <c:axPos val="l"/>
        <c:majorGridlines/>
        <c:numFmt formatCode="General" sourceLinked="1"/>
        <c:tickLblPos val="nextTo"/>
        <c:crossAx val="149347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scatterChart>
        <c:scatterStyle val="lineMarker"/>
        <c:ser>
          <c:idx val="0"/>
          <c:order val="0"/>
          <c:tx>
            <c:v>Регрессия по вероятности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8.3314304461942268E-2"/>
                  <c:y val="-3.2766477107028291E-2"/>
                </c:manualLayout>
              </c:layout>
              <c:numFmt formatCode="General" sourceLinked="0"/>
            </c:trendlineLbl>
          </c:trendline>
          <c:xVal>
            <c:numRef>
              <c:f>Датасет!$K$6:$K$13</c:f>
              <c:numCache>
                <c:formatCode>General</c:formatCode>
                <c:ptCount val="8"/>
                <c:pt idx="0">
                  <c:v>157.5</c:v>
                </c:pt>
                <c:pt idx="1">
                  <c:v>164.5</c:v>
                </c:pt>
                <c:pt idx="2">
                  <c:v>171.5</c:v>
                </c:pt>
                <c:pt idx="3">
                  <c:v>178.5</c:v>
                </c:pt>
                <c:pt idx="4">
                  <c:v>185.5</c:v>
                </c:pt>
                <c:pt idx="5">
                  <c:v>192.5</c:v>
                </c:pt>
                <c:pt idx="6">
                  <c:v>199.5</c:v>
                </c:pt>
                <c:pt idx="7">
                  <c:v>206.5</c:v>
                </c:pt>
              </c:numCache>
            </c:numRef>
          </c:xVal>
          <c:yVal>
            <c:numRef>
              <c:f>Датасет!$N$6:$N$13</c:f>
              <c:numCache>
                <c:formatCode>General</c:formatCode>
                <c:ptCount val="8"/>
                <c:pt idx="0">
                  <c:v>7.1428570999999996E-2</c:v>
                </c:pt>
                <c:pt idx="1">
                  <c:v>0.125</c:v>
                </c:pt>
                <c:pt idx="2">
                  <c:v>0.44444444399999999</c:v>
                </c:pt>
                <c:pt idx="3">
                  <c:v>0.69230769199999997</c:v>
                </c:pt>
                <c:pt idx="4">
                  <c:v>0.84615384599999999</c:v>
                </c:pt>
                <c:pt idx="5">
                  <c:v>0.88888888899999996</c:v>
                </c:pt>
                <c:pt idx="6">
                  <c:v>0.909090909</c:v>
                </c:pt>
                <c:pt idx="7">
                  <c:v>0.93333333299999999</c:v>
                </c:pt>
              </c:numCache>
            </c:numRef>
          </c:yVal>
        </c:ser>
        <c:axId val="111499520"/>
        <c:axId val="118045696"/>
      </c:scatterChart>
      <c:valAx>
        <c:axId val="111499520"/>
        <c:scaling>
          <c:orientation val="minMax"/>
        </c:scaling>
        <c:axPos val="b"/>
        <c:numFmt formatCode="General" sourceLinked="1"/>
        <c:tickLblPos val="nextTo"/>
        <c:crossAx val="118045696"/>
        <c:crosses val="autoZero"/>
        <c:crossBetween val="midCat"/>
      </c:valAx>
      <c:valAx>
        <c:axId val="118045696"/>
        <c:scaling>
          <c:orientation val="minMax"/>
        </c:scaling>
        <c:axPos val="l"/>
        <c:majorGridlines/>
        <c:numFmt formatCode="General" sourceLinked="1"/>
        <c:tickLblPos val="nextTo"/>
        <c:crossAx val="1114995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scatterChart>
        <c:scatterStyle val="lineMarker"/>
        <c:ser>
          <c:idx val="0"/>
          <c:order val="0"/>
          <c:tx>
            <c:v>Регрессия по шансам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8.3314304461942268E-2"/>
                  <c:y val="-3.2766477107028291E-2"/>
                </c:manualLayout>
              </c:layout>
              <c:numFmt formatCode="General" sourceLinked="0"/>
            </c:trendlineLbl>
          </c:trendline>
          <c:xVal>
            <c:numRef>
              <c:f>Датасет!$K$6:$K$13</c:f>
              <c:numCache>
                <c:formatCode>General</c:formatCode>
                <c:ptCount val="8"/>
                <c:pt idx="0">
                  <c:v>157.5</c:v>
                </c:pt>
                <c:pt idx="1">
                  <c:v>164.5</c:v>
                </c:pt>
                <c:pt idx="2">
                  <c:v>171.5</c:v>
                </c:pt>
                <c:pt idx="3">
                  <c:v>178.5</c:v>
                </c:pt>
                <c:pt idx="4">
                  <c:v>185.5</c:v>
                </c:pt>
                <c:pt idx="5">
                  <c:v>192.5</c:v>
                </c:pt>
                <c:pt idx="6">
                  <c:v>199.5</c:v>
                </c:pt>
                <c:pt idx="7">
                  <c:v>206.5</c:v>
                </c:pt>
              </c:numCache>
            </c:numRef>
          </c:xVal>
          <c:yVal>
            <c:numRef>
              <c:f>Датасет!$O$6:$O$13</c:f>
              <c:numCache>
                <c:formatCode>General</c:formatCode>
                <c:ptCount val="8"/>
                <c:pt idx="0">
                  <c:v>7.6923076426035505E-2</c:v>
                </c:pt>
                <c:pt idx="1">
                  <c:v>0.14285714285714285</c:v>
                </c:pt>
                <c:pt idx="2">
                  <c:v>0.79999999855999993</c:v>
                </c:pt>
                <c:pt idx="3">
                  <c:v>2.2499999967499997</c:v>
                </c:pt>
                <c:pt idx="4">
                  <c:v>5.4999999934999995</c:v>
                </c:pt>
                <c:pt idx="5">
                  <c:v>8.0000000089999972</c:v>
                </c:pt>
                <c:pt idx="6">
                  <c:v>9.9999999890000009</c:v>
                </c:pt>
                <c:pt idx="7">
                  <c:v>13.999999924999997</c:v>
                </c:pt>
              </c:numCache>
            </c:numRef>
          </c:yVal>
        </c:ser>
        <c:axId val="111445504"/>
        <c:axId val="111447040"/>
      </c:scatterChart>
      <c:valAx>
        <c:axId val="111445504"/>
        <c:scaling>
          <c:orientation val="minMax"/>
        </c:scaling>
        <c:axPos val="b"/>
        <c:numFmt formatCode="General" sourceLinked="1"/>
        <c:tickLblPos val="nextTo"/>
        <c:crossAx val="111447040"/>
        <c:crosses val="autoZero"/>
        <c:crossBetween val="midCat"/>
      </c:valAx>
      <c:valAx>
        <c:axId val="111447040"/>
        <c:scaling>
          <c:orientation val="minMax"/>
        </c:scaling>
        <c:axPos val="l"/>
        <c:majorGridlines/>
        <c:numFmt formatCode="General" sourceLinked="1"/>
        <c:tickLblPos val="nextTo"/>
        <c:crossAx val="1114455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scatterChart>
        <c:scatterStyle val="lineMarker"/>
        <c:ser>
          <c:idx val="0"/>
          <c:order val="0"/>
          <c:tx>
            <c:v>Регрессия по логарифму шанса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8.3314304461942268E-2"/>
                  <c:y val="-3.2766477107028291E-2"/>
                </c:manualLayout>
              </c:layout>
              <c:numFmt formatCode="General" sourceLinked="0"/>
            </c:trendlineLbl>
          </c:trendline>
          <c:xVal>
            <c:numRef>
              <c:f>Датасет!$K$6:$K$13</c:f>
              <c:numCache>
                <c:formatCode>General</c:formatCode>
                <c:ptCount val="8"/>
                <c:pt idx="0">
                  <c:v>157.5</c:v>
                </c:pt>
                <c:pt idx="1">
                  <c:v>164.5</c:v>
                </c:pt>
                <c:pt idx="2">
                  <c:v>171.5</c:v>
                </c:pt>
                <c:pt idx="3">
                  <c:v>178.5</c:v>
                </c:pt>
                <c:pt idx="4">
                  <c:v>185.5</c:v>
                </c:pt>
                <c:pt idx="5">
                  <c:v>192.5</c:v>
                </c:pt>
                <c:pt idx="6">
                  <c:v>199.5</c:v>
                </c:pt>
                <c:pt idx="7">
                  <c:v>206.5</c:v>
                </c:pt>
              </c:numCache>
            </c:numRef>
          </c:xVal>
          <c:yVal>
            <c:numRef>
              <c:f>Датасет!$P$6:$P$13</c:f>
              <c:numCache>
                <c:formatCode>General</c:formatCode>
                <c:ptCount val="8"/>
                <c:pt idx="0">
                  <c:v>-2.5649493639230752</c:v>
                </c:pt>
                <c:pt idx="1">
                  <c:v>-1.9459101490553135</c:v>
                </c:pt>
                <c:pt idx="2">
                  <c:v>-0.22314355311420986</c:v>
                </c:pt>
                <c:pt idx="3">
                  <c:v>0.81093021477188421</c:v>
                </c:pt>
                <c:pt idx="4">
                  <c:v>1.7047480910566069</c:v>
                </c:pt>
                <c:pt idx="5">
                  <c:v>2.0794415428048354</c:v>
                </c:pt>
                <c:pt idx="6">
                  <c:v>2.3025850918940458</c:v>
                </c:pt>
                <c:pt idx="7">
                  <c:v>2.6390573242581157</c:v>
                </c:pt>
              </c:numCache>
            </c:numRef>
          </c:yVal>
        </c:ser>
        <c:axId val="156242304"/>
        <c:axId val="158513408"/>
      </c:scatterChart>
      <c:valAx>
        <c:axId val="156242304"/>
        <c:scaling>
          <c:orientation val="minMax"/>
        </c:scaling>
        <c:axPos val="b"/>
        <c:numFmt formatCode="General" sourceLinked="1"/>
        <c:tickLblPos val="nextTo"/>
        <c:crossAx val="158513408"/>
        <c:crosses val="autoZero"/>
        <c:crossBetween val="midCat"/>
      </c:valAx>
      <c:valAx>
        <c:axId val="158513408"/>
        <c:scaling>
          <c:orientation val="minMax"/>
        </c:scaling>
        <c:axPos val="l"/>
        <c:majorGridlines/>
        <c:numFmt formatCode="General" sourceLinked="1"/>
        <c:tickLblPos val="nextTo"/>
        <c:crossAx val="1562423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104</xdr:row>
      <xdr:rowOff>7620</xdr:rowOff>
    </xdr:from>
    <xdr:to>
      <xdr:col>5</xdr:col>
      <xdr:colOff>510540</xdr:colOff>
      <xdr:row>119</xdr:row>
      <xdr:rowOff>7620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708660</xdr:colOff>
      <xdr:row>104</xdr:row>
      <xdr:rowOff>28127</xdr:rowOff>
    </xdr:from>
    <xdr:to>
      <xdr:col>15</xdr:col>
      <xdr:colOff>243840</xdr:colOff>
      <xdr:row>112</xdr:row>
      <xdr:rowOff>38099</xdr:rowOff>
    </xdr:to>
    <xdr:pic>
      <xdr:nvPicPr>
        <xdr:cNvPr id="2049" name="Picture 1" descr="6/ Сводка статистических данных. Виды сводок.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29200" y="18681887"/>
          <a:ext cx="5311140" cy="1473012"/>
        </a:xfrm>
        <a:prstGeom prst="rect">
          <a:avLst/>
        </a:prstGeom>
        <a:noFill/>
      </xdr:spPr>
    </xdr:pic>
    <xdr:clientData/>
  </xdr:twoCellAnchor>
  <xdr:twoCellAnchor>
    <xdr:from>
      <xdr:col>0</xdr:col>
      <xdr:colOff>45720</xdr:colOff>
      <xdr:row>120</xdr:row>
      <xdr:rowOff>0</xdr:rowOff>
    </xdr:from>
    <xdr:to>
      <xdr:col>5</xdr:col>
      <xdr:colOff>541020</xdr:colOff>
      <xdr:row>135</xdr:row>
      <xdr:rowOff>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120</xdr:row>
      <xdr:rowOff>0</xdr:rowOff>
    </xdr:from>
    <xdr:to>
      <xdr:col>15</xdr:col>
      <xdr:colOff>281940</xdr:colOff>
      <xdr:row>135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106680</xdr:colOff>
      <xdr:row>136</xdr:row>
      <xdr:rowOff>0</xdr:rowOff>
    </xdr:from>
    <xdr:to>
      <xdr:col>5</xdr:col>
      <xdr:colOff>601980</xdr:colOff>
      <xdr:row>151</xdr:row>
      <xdr:rowOff>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335280</xdr:colOff>
      <xdr:row>1</xdr:row>
      <xdr:rowOff>38101</xdr:rowOff>
    </xdr:from>
    <xdr:to>
      <xdr:col>15</xdr:col>
      <xdr:colOff>388620</xdr:colOff>
      <xdr:row>13</xdr:row>
      <xdr:rowOff>81353</xdr:rowOff>
    </xdr:to>
    <xdr:pic>
      <xdr:nvPicPr>
        <xdr:cNvPr id="3073" name="Picture 1" descr="Precision и recall. Как они соотносятся с порогом принятия решений? / Хабр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46220" y="220981"/>
          <a:ext cx="4930140" cy="223781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</xdr:colOff>
      <xdr:row>13</xdr:row>
      <xdr:rowOff>152400</xdr:rowOff>
    </xdr:from>
    <xdr:to>
      <xdr:col>9</xdr:col>
      <xdr:colOff>434340</xdr:colOff>
      <xdr:row>22</xdr:row>
      <xdr:rowOff>106680</xdr:rowOff>
    </xdr:to>
    <xdr:pic>
      <xdr:nvPicPr>
        <xdr:cNvPr id="3074" name="Picture 2" descr="How to Calculate Precision, Recall, F1-Score using Python &amp; Sklearn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06980" y="2529840"/>
          <a:ext cx="2857500" cy="16002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opLeftCell="A72" workbookViewId="0">
      <selection activeCell="C2" sqref="C2:C101"/>
    </sheetView>
  </sheetViews>
  <sheetFormatPr defaultRowHeight="14.4"/>
  <cols>
    <col min="2" max="2" width="14.88671875" customWidth="1"/>
    <col min="3" max="3" width="15.21875" customWidth="1"/>
    <col min="4" max="4" width="11.21875" customWidth="1"/>
    <col min="5" max="5" width="16.5546875" customWidth="1"/>
  </cols>
  <sheetData>
    <row r="1" spans="1:6">
      <c r="A1" t="s">
        <v>1</v>
      </c>
      <c r="B1" t="s">
        <v>2</v>
      </c>
      <c r="C1" t="s">
        <v>4</v>
      </c>
      <c r="D1" t="s">
        <v>3</v>
      </c>
      <c r="E1" t="s">
        <v>5</v>
      </c>
    </row>
    <row r="2" spans="1:6">
      <c r="A2">
        <v>1</v>
      </c>
      <c r="B2">
        <f ca="1">RANDBETWEEN(154,210)</f>
        <v>196</v>
      </c>
      <c r="C2">
        <v>209</v>
      </c>
      <c r="D2">
        <f>IF(C2&gt;180,2,IF(C2&lt;170,0,1))</f>
        <v>2</v>
      </c>
      <c r="E2">
        <v>1</v>
      </c>
      <c r="F2">
        <v>8</v>
      </c>
    </row>
    <row r="3" spans="1:6">
      <c r="A3">
        <v>2</v>
      </c>
      <c r="B3">
        <f t="shared" ref="B3:B66" ca="1" si="0">RANDBETWEEN(154,210)</f>
        <v>187</v>
      </c>
      <c r="C3">
        <v>160</v>
      </c>
      <c r="D3">
        <f t="shared" ref="D3:D66" si="1">IF(C3&gt;180,2,IF(C3&lt;170,0,1))</f>
        <v>0</v>
      </c>
      <c r="E3">
        <v>0</v>
      </c>
      <c r="F3">
        <v>3</v>
      </c>
    </row>
    <row r="4" spans="1:6">
      <c r="A4">
        <v>3</v>
      </c>
      <c r="B4">
        <f t="shared" ca="1" si="0"/>
        <v>163</v>
      </c>
      <c r="C4">
        <v>167</v>
      </c>
      <c r="D4">
        <f t="shared" si="1"/>
        <v>0</v>
      </c>
      <c r="E4">
        <v>0</v>
      </c>
      <c r="F4">
        <v>2</v>
      </c>
    </row>
    <row r="5" spans="1:6">
      <c r="A5">
        <v>4</v>
      </c>
      <c r="B5">
        <f t="shared" ca="1" si="0"/>
        <v>155</v>
      </c>
      <c r="C5">
        <v>181</v>
      </c>
      <c r="D5">
        <f t="shared" si="1"/>
        <v>2</v>
      </c>
      <c r="E5">
        <v>1</v>
      </c>
      <c r="F5">
        <v>10</v>
      </c>
    </row>
    <row r="6" spans="1:6">
      <c r="A6">
        <v>5</v>
      </c>
      <c r="B6">
        <f t="shared" ca="1" si="0"/>
        <v>157</v>
      </c>
      <c r="C6">
        <v>195</v>
      </c>
      <c r="D6">
        <f t="shared" si="1"/>
        <v>2</v>
      </c>
      <c r="E6">
        <v>1</v>
      </c>
      <c r="F6">
        <v>5</v>
      </c>
    </row>
    <row r="7" spans="1:6">
      <c r="A7">
        <v>6</v>
      </c>
      <c r="B7">
        <f t="shared" ca="1" si="0"/>
        <v>163</v>
      </c>
      <c r="C7">
        <v>173</v>
      </c>
      <c r="D7">
        <f t="shared" si="1"/>
        <v>1</v>
      </c>
      <c r="E7">
        <v>0</v>
      </c>
      <c r="F7">
        <v>1</v>
      </c>
    </row>
    <row r="8" spans="1:6">
      <c r="A8">
        <v>7</v>
      </c>
      <c r="B8">
        <f t="shared" ca="1" si="0"/>
        <v>203</v>
      </c>
      <c r="C8">
        <v>199</v>
      </c>
      <c r="D8">
        <f t="shared" si="1"/>
        <v>2</v>
      </c>
      <c r="E8">
        <v>1</v>
      </c>
      <c r="F8">
        <v>6</v>
      </c>
    </row>
    <row r="9" spans="1:6">
      <c r="A9">
        <v>8</v>
      </c>
      <c r="B9">
        <f t="shared" ca="1" si="0"/>
        <v>173</v>
      </c>
      <c r="C9">
        <v>199</v>
      </c>
      <c r="D9">
        <f t="shared" si="1"/>
        <v>2</v>
      </c>
      <c r="E9">
        <v>1</v>
      </c>
      <c r="F9">
        <v>5</v>
      </c>
    </row>
    <row r="10" spans="1:6">
      <c r="A10">
        <v>9</v>
      </c>
      <c r="B10">
        <f t="shared" ca="1" si="0"/>
        <v>205</v>
      </c>
      <c r="C10">
        <v>157</v>
      </c>
      <c r="D10">
        <f t="shared" si="1"/>
        <v>0</v>
      </c>
      <c r="E10">
        <v>0</v>
      </c>
      <c r="F10">
        <v>7</v>
      </c>
    </row>
    <row r="11" spans="1:6">
      <c r="A11">
        <v>10</v>
      </c>
      <c r="B11">
        <f t="shared" ca="1" si="0"/>
        <v>181</v>
      </c>
      <c r="C11">
        <v>205</v>
      </c>
      <c r="D11">
        <f t="shared" si="1"/>
        <v>2</v>
      </c>
      <c r="E11">
        <v>1</v>
      </c>
      <c r="F11">
        <v>7</v>
      </c>
    </row>
    <row r="12" spans="1:6">
      <c r="A12">
        <v>11</v>
      </c>
      <c r="B12">
        <f t="shared" ca="1" si="0"/>
        <v>198</v>
      </c>
      <c r="C12">
        <v>181</v>
      </c>
      <c r="D12">
        <f t="shared" si="1"/>
        <v>2</v>
      </c>
      <c r="E12">
        <v>1</v>
      </c>
      <c r="F12">
        <v>2</v>
      </c>
    </row>
    <row r="13" spans="1:6">
      <c r="A13">
        <v>12</v>
      </c>
      <c r="B13">
        <f t="shared" ca="1" si="0"/>
        <v>202</v>
      </c>
      <c r="C13">
        <v>165</v>
      </c>
      <c r="D13">
        <f t="shared" si="1"/>
        <v>0</v>
      </c>
      <c r="E13">
        <v>0</v>
      </c>
      <c r="F13">
        <v>3</v>
      </c>
    </row>
    <row r="14" spans="1:6">
      <c r="A14">
        <v>13</v>
      </c>
      <c r="B14">
        <f t="shared" ca="1" si="0"/>
        <v>160</v>
      </c>
      <c r="C14">
        <v>186</v>
      </c>
      <c r="D14">
        <f t="shared" si="1"/>
        <v>2</v>
      </c>
      <c r="E14">
        <v>0</v>
      </c>
      <c r="F14">
        <v>1</v>
      </c>
    </row>
    <row r="15" spans="1:6">
      <c r="A15">
        <v>14</v>
      </c>
      <c r="B15">
        <f t="shared" ca="1" si="0"/>
        <v>185</v>
      </c>
      <c r="C15">
        <v>166</v>
      </c>
      <c r="D15">
        <f t="shared" si="1"/>
        <v>0</v>
      </c>
      <c r="E15">
        <v>0</v>
      </c>
      <c r="F15">
        <v>7</v>
      </c>
    </row>
    <row r="16" spans="1:6">
      <c r="A16">
        <v>15</v>
      </c>
      <c r="B16">
        <f t="shared" ca="1" si="0"/>
        <v>204</v>
      </c>
      <c r="C16">
        <v>207</v>
      </c>
      <c r="D16">
        <f t="shared" si="1"/>
        <v>2</v>
      </c>
      <c r="E16">
        <v>1</v>
      </c>
      <c r="F16">
        <v>10</v>
      </c>
    </row>
    <row r="17" spans="1:6">
      <c r="A17">
        <v>16</v>
      </c>
      <c r="B17">
        <f t="shared" ca="1" si="0"/>
        <v>195</v>
      </c>
      <c r="C17">
        <v>195</v>
      </c>
      <c r="D17">
        <f t="shared" si="1"/>
        <v>2</v>
      </c>
      <c r="E17">
        <v>1</v>
      </c>
      <c r="F17">
        <v>4</v>
      </c>
    </row>
    <row r="18" spans="1:6">
      <c r="A18">
        <v>17</v>
      </c>
      <c r="B18">
        <f t="shared" ca="1" si="0"/>
        <v>174</v>
      </c>
      <c r="C18">
        <v>199</v>
      </c>
      <c r="D18">
        <f t="shared" si="1"/>
        <v>2</v>
      </c>
      <c r="E18">
        <v>1</v>
      </c>
      <c r="F18">
        <v>9</v>
      </c>
    </row>
    <row r="19" spans="1:6">
      <c r="A19">
        <v>18</v>
      </c>
      <c r="B19">
        <f t="shared" ca="1" si="0"/>
        <v>182</v>
      </c>
      <c r="C19">
        <v>202</v>
      </c>
      <c r="D19">
        <f t="shared" si="1"/>
        <v>2</v>
      </c>
      <c r="E19">
        <v>1</v>
      </c>
      <c r="F19">
        <v>4</v>
      </c>
    </row>
    <row r="20" spans="1:6">
      <c r="A20">
        <v>19</v>
      </c>
      <c r="B20">
        <f t="shared" ca="1" si="0"/>
        <v>202</v>
      </c>
      <c r="C20">
        <v>205</v>
      </c>
      <c r="D20">
        <f t="shared" si="1"/>
        <v>2</v>
      </c>
      <c r="E20">
        <v>1</v>
      </c>
      <c r="F20">
        <v>5</v>
      </c>
    </row>
    <row r="21" spans="1:6">
      <c r="A21">
        <v>20</v>
      </c>
      <c r="B21">
        <f t="shared" ca="1" si="0"/>
        <v>182</v>
      </c>
      <c r="C21">
        <v>180</v>
      </c>
      <c r="D21">
        <f t="shared" si="1"/>
        <v>1</v>
      </c>
      <c r="E21">
        <v>0</v>
      </c>
      <c r="F21">
        <v>5</v>
      </c>
    </row>
    <row r="22" spans="1:6">
      <c r="A22">
        <v>21</v>
      </c>
      <c r="B22">
        <f t="shared" ca="1" si="0"/>
        <v>189</v>
      </c>
      <c r="C22">
        <v>205</v>
      </c>
      <c r="D22">
        <f t="shared" si="1"/>
        <v>2</v>
      </c>
      <c r="E22">
        <v>1</v>
      </c>
      <c r="F22">
        <v>8</v>
      </c>
    </row>
    <row r="23" spans="1:6">
      <c r="A23">
        <v>22</v>
      </c>
      <c r="B23">
        <f t="shared" ca="1" si="0"/>
        <v>206</v>
      </c>
      <c r="C23">
        <v>182</v>
      </c>
      <c r="D23">
        <f t="shared" si="1"/>
        <v>2</v>
      </c>
      <c r="E23">
        <v>1</v>
      </c>
      <c r="F23">
        <v>3</v>
      </c>
    </row>
    <row r="24" spans="1:6">
      <c r="A24">
        <v>23</v>
      </c>
      <c r="B24">
        <f t="shared" ca="1" si="0"/>
        <v>177</v>
      </c>
      <c r="C24">
        <v>176</v>
      </c>
      <c r="D24">
        <f t="shared" si="1"/>
        <v>1</v>
      </c>
      <c r="E24">
        <v>1</v>
      </c>
      <c r="F24">
        <v>9</v>
      </c>
    </row>
    <row r="25" spans="1:6">
      <c r="A25">
        <v>24</v>
      </c>
      <c r="B25">
        <f t="shared" ca="1" si="0"/>
        <v>182</v>
      </c>
      <c r="C25">
        <v>207</v>
      </c>
      <c r="D25">
        <f t="shared" si="1"/>
        <v>2</v>
      </c>
      <c r="E25">
        <v>1</v>
      </c>
      <c r="F25">
        <v>7</v>
      </c>
    </row>
    <row r="26" spans="1:6">
      <c r="A26">
        <v>25</v>
      </c>
      <c r="B26">
        <f t="shared" ca="1" si="0"/>
        <v>193</v>
      </c>
      <c r="C26">
        <v>171</v>
      </c>
      <c r="D26">
        <f t="shared" si="1"/>
        <v>1</v>
      </c>
      <c r="E26">
        <v>1</v>
      </c>
      <c r="F26">
        <v>9</v>
      </c>
    </row>
    <row r="27" spans="1:6">
      <c r="A27">
        <v>26</v>
      </c>
      <c r="B27">
        <f t="shared" ca="1" si="0"/>
        <v>162</v>
      </c>
      <c r="C27">
        <v>193</v>
      </c>
      <c r="D27">
        <f t="shared" si="1"/>
        <v>2</v>
      </c>
      <c r="E27">
        <v>1</v>
      </c>
      <c r="F27">
        <v>3</v>
      </c>
    </row>
    <row r="28" spans="1:6">
      <c r="A28">
        <v>27</v>
      </c>
      <c r="B28">
        <f t="shared" ca="1" si="0"/>
        <v>201</v>
      </c>
      <c r="C28">
        <v>202</v>
      </c>
      <c r="D28">
        <f t="shared" si="1"/>
        <v>2</v>
      </c>
      <c r="E28">
        <v>1</v>
      </c>
      <c r="F28">
        <v>2</v>
      </c>
    </row>
    <row r="29" spans="1:6">
      <c r="A29">
        <v>28</v>
      </c>
      <c r="B29">
        <f t="shared" ca="1" si="0"/>
        <v>171</v>
      </c>
      <c r="C29">
        <v>155</v>
      </c>
      <c r="D29">
        <f t="shared" si="1"/>
        <v>0</v>
      </c>
      <c r="E29">
        <v>0</v>
      </c>
      <c r="F29">
        <v>3</v>
      </c>
    </row>
    <row r="30" spans="1:6">
      <c r="A30">
        <v>29</v>
      </c>
      <c r="B30">
        <f t="shared" ca="1" si="0"/>
        <v>195</v>
      </c>
      <c r="C30">
        <v>182</v>
      </c>
      <c r="D30">
        <f t="shared" si="1"/>
        <v>2</v>
      </c>
      <c r="E30">
        <v>1</v>
      </c>
      <c r="F30">
        <v>2</v>
      </c>
    </row>
    <row r="31" spans="1:6">
      <c r="A31">
        <v>30</v>
      </c>
      <c r="B31">
        <f t="shared" ca="1" si="0"/>
        <v>205</v>
      </c>
      <c r="C31">
        <v>177</v>
      </c>
      <c r="D31">
        <f t="shared" si="1"/>
        <v>1</v>
      </c>
      <c r="E31">
        <v>0</v>
      </c>
      <c r="F31">
        <v>3</v>
      </c>
    </row>
    <row r="32" spans="1:6">
      <c r="A32">
        <v>31</v>
      </c>
      <c r="B32">
        <f t="shared" ca="1" si="0"/>
        <v>196</v>
      </c>
      <c r="C32">
        <v>178</v>
      </c>
      <c r="D32">
        <f t="shared" si="1"/>
        <v>1</v>
      </c>
      <c r="E32">
        <v>1</v>
      </c>
      <c r="F32">
        <v>9</v>
      </c>
    </row>
    <row r="33" spans="1:6">
      <c r="A33">
        <v>32</v>
      </c>
      <c r="B33">
        <f t="shared" ca="1" si="0"/>
        <v>156</v>
      </c>
      <c r="C33">
        <v>192</v>
      </c>
      <c r="D33">
        <f t="shared" si="1"/>
        <v>2</v>
      </c>
      <c r="E33">
        <v>1</v>
      </c>
      <c r="F33">
        <v>9</v>
      </c>
    </row>
    <row r="34" spans="1:6">
      <c r="A34">
        <v>33</v>
      </c>
      <c r="B34">
        <f t="shared" ca="1" si="0"/>
        <v>159</v>
      </c>
      <c r="C34">
        <v>158</v>
      </c>
      <c r="D34">
        <f t="shared" si="1"/>
        <v>0</v>
      </c>
      <c r="E34">
        <v>0</v>
      </c>
      <c r="F34">
        <v>2</v>
      </c>
    </row>
    <row r="35" spans="1:6">
      <c r="A35">
        <v>34</v>
      </c>
      <c r="B35">
        <f t="shared" ca="1" si="0"/>
        <v>154</v>
      </c>
      <c r="C35">
        <v>166</v>
      </c>
      <c r="D35">
        <f t="shared" si="1"/>
        <v>0</v>
      </c>
      <c r="E35">
        <v>0</v>
      </c>
      <c r="F35">
        <v>9</v>
      </c>
    </row>
    <row r="36" spans="1:6">
      <c r="A36">
        <v>35</v>
      </c>
      <c r="B36">
        <f t="shared" ca="1" si="0"/>
        <v>208</v>
      </c>
      <c r="C36">
        <v>210</v>
      </c>
      <c r="D36">
        <f t="shared" si="1"/>
        <v>2</v>
      </c>
      <c r="E36">
        <v>1</v>
      </c>
      <c r="F36">
        <v>9</v>
      </c>
    </row>
    <row r="37" spans="1:6">
      <c r="A37">
        <v>36</v>
      </c>
      <c r="B37">
        <f t="shared" ca="1" si="0"/>
        <v>175</v>
      </c>
      <c r="C37">
        <v>159</v>
      </c>
      <c r="D37">
        <f t="shared" si="1"/>
        <v>0</v>
      </c>
      <c r="E37">
        <v>0</v>
      </c>
      <c r="F37">
        <v>4</v>
      </c>
    </row>
    <row r="38" spans="1:6">
      <c r="A38">
        <v>37</v>
      </c>
      <c r="B38">
        <f t="shared" ca="1" si="0"/>
        <v>195</v>
      </c>
      <c r="C38">
        <v>208</v>
      </c>
      <c r="D38">
        <f t="shared" si="1"/>
        <v>2</v>
      </c>
      <c r="E38">
        <v>1</v>
      </c>
      <c r="F38">
        <v>7</v>
      </c>
    </row>
    <row r="39" spans="1:6">
      <c r="A39">
        <v>38</v>
      </c>
      <c r="B39">
        <f t="shared" ca="1" si="0"/>
        <v>160</v>
      </c>
      <c r="C39">
        <v>177</v>
      </c>
      <c r="D39">
        <f t="shared" si="1"/>
        <v>1</v>
      </c>
      <c r="E39">
        <v>0</v>
      </c>
      <c r="F39">
        <v>3</v>
      </c>
    </row>
    <row r="40" spans="1:6">
      <c r="A40">
        <v>39</v>
      </c>
      <c r="B40">
        <f t="shared" ca="1" si="0"/>
        <v>190</v>
      </c>
      <c r="C40">
        <v>183</v>
      </c>
      <c r="D40">
        <f t="shared" si="1"/>
        <v>2</v>
      </c>
      <c r="E40">
        <v>0</v>
      </c>
      <c r="F40">
        <v>1</v>
      </c>
    </row>
    <row r="41" spans="1:6">
      <c r="A41">
        <v>40</v>
      </c>
      <c r="B41">
        <f t="shared" ca="1" si="0"/>
        <v>205</v>
      </c>
      <c r="C41">
        <v>200</v>
      </c>
      <c r="D41">
        <f t="shared" si="1"/>
        <v>2</v>
      </c>
      <c r="E41">
        <v>1</v>
      </c>
      <c r="F41">
        <v>8</v>
      </c>
    </row>
    <row r="42" spans="1:6">
      <c r="A42">
        <v>41</v>
      </c>
      <c r="B42">
        <f t="shared" ca="1" si="0"/>
        <v>187</v>
      </c>
      <c r="C42">
        <v>175</v>
      </c>
      <c r="D42">
        <f t="shared" si="1"/>
        <v>1</v>
      </c>
      <c r="E42">
        <v>1</v>
      </c>
      <c r="F42">
        <v>7</v>
      </c>
    </row>
    <row r="43" spans="1:6">
      <c r="A43">
        <v>42</v>
      </c>
      <c r="B43">
        <f t="shared" ca="1" si="0"/>
        <v>154</v>
      </c>
      <c r="C43">
        <v>197</v>
      </c>
      <c r="D43">
        <f t="shared" si="1"/>
        <v>2</v>
      </c>
      <c r="E43">
        <v>1</v>
      </c>
      <c r="F43">
        <v>5</v>
      </c>
    </row>
    <row r="44" spans="1:6">
      <c r="A44">
        <v>43</v>
      </c>
      <c r="B44">
        <f t="shared" ca="1" si="0"/>
        <v>196</v>
      </c>
      <c r="C44">
        <v>155</v>
      </c>
      <c r="D44">
        <f t="shared" si="1"/>
        <v>0</v>
      </c>
      <c r="E44">
        <v>0</v>
      </c>
      <c r="F44">
        <v>9</v>
      </c>
    </row>
    <row r="45" spans="1:6">
      <c r="A45">
        <v>44</v>
      </c>
      <c r="B45">
        <f t="shared" ca="1" si="0"/>
        <v>199</v>
      </c>
      <c r="C45">
        <v>171</v>
      </c>
      <c r="D45">
        <f t="shared" si="1"/>
        <v>1</v>
      </c>
      <c r="E45">
        <v>0</v>
      </c>
      <c r="F45">
        <v>3</v>
      </c>
    </row>
    <row r="46" spans="1:6">
      <c r="A46">
        <v>45</v>
      </c>
      <c r="B46">
        <f t="shared" ca="1" si="0"/>
        <v>184</v>
      </c>
      <c r="C46">
        <v>189</v>
      </c>
      <c r="D46">
        <f t="shared" si="1"/>
        <v>2</v>
      </c>
      <c r="E46">
        <v>1</v>
      </c>
      <c r="F46">
        <v>9</v>
      </c>
    </row>
    <row r="47" spans="1:6">
      <c r="A47">
        <v>46</v>
      </c>
      <c r="B47">
        <f t="shared" ca="1" si="0"/>
        <v>179</v>
      </c>
      <c r="C47">
        <v>205</v>
      </c>
      <c r="D47">
        <f t="shared" si="1"/>
        <v>2</v>
      </c>
      <c r="E47">
        <v>0</v>
      </c>
      <c r="F47">
        <v>1</v>
      </c>
    </row>
    <row r="48" spans="1:6">
      <c r="A48">
        <v>47</v>
      </c>
      <c r="B48">
        <f t="shared" ca="1" si="0"/>
        <v>207</v>
      </c>
      <c r="C48">
        <v>163</v>
      </c>
      <c r="D48">
        <f t="shared" si="1"/>
        <v>0</v>
      </c>
      <c r="E48">
        <v>0</v>
      </c>
      <c r="F48">
        <v>6</v>
      </c>
    </row>
    <row r="49" spans="1:6">
      <c r="A49">
        <v>48</v>
      </c>
      <c r="B49">
        <f t="shared" ca="1" si="0"/>
        <v>205</v>
      </c>
      <c r="C49">
        <v>204</v>
      </c>
      <c r="D49">
        <f t="shared" si="1"/>
        <v>2</v>
      </c>
      <c r="E49">
        <v>0</v>
      </c>
      <c r="F49">
        <v>1</v>
      </c>
    </row>
    <row r="50" spans="1:6">
      <c r="A50">
        <v>49</v>
      </c>
      <c r="B50">
        <f t="shared" ca="1" si="0"/>
        <v>166</v>
      </c>
      <c r="C50">
        <v>172</v>
      </c>
      <c r="D50">
        <f t="shared" si="1"/>
        <v>1</v>
      </c>
      <c r="E50">
        <v>0</v>
      </c>
      <c r="F50">
        <v>2</v>
      </c>
    </row>
    <row r="51" spans="1:6">
      <c r="A51">
        <v>50</v>
      </c>
      <c r="B51">
        <f t="shared" ca="1" si="0"/>
        <v>200</v>
      </c>
      <c r="C51">
        <v>185</v>
      </c>
      <c r="D51">
        <f t="shared" si="1"/>
        <v>2</v>
      </c>
      <c r="E51">
        <v>1</v>
      </c>
      <c r="F51">
        <v>3</v>
      </c>
    </row>
    <row r="52" spans="1:6">
      <c r="A52">
        <v>51</v>
      </c>
      <c r="B52">
        <f t="shared" ca="1" si="0"/>
        <v>166</v>
      </c>
      <c r="C52">
        <v>206</v>
      </c>
      <c r="D52">
        <f t="shared" si="1"/>
        <v>2</v>
      </c>
      <c r="E52">
        <v>1</v>
      </c>
      <c r="F52">
        <v>2</v>
      </c>
    </row>
    <row r="53" spans="1:6">
      <c r="A53">
        <v>52</v>
      </c>
      <c r="B53">
        <f t="shared" ca="1" si="0"/>
        <v>169</v>
      </c>
      <c r="C53">
        <v>193</v>
      </c>
      <c r="D53">
        <f t="shared" si="1"/>
        <v>2</v>
      </c>
      <c r="E53">
        <v>1</v>
      </c>
      <c r="F53">
        <v>10</v>
      </c>
    </row>
    <row r="54" spans="1:6">
      <c r="A54">
        <v>53</v>
      </c>
      <c r="B54">
        <f t="shared" ca="1" si="0"/>
        <v>192</v>
      </c>
      <c r="C54">
        <v>162</v>
      </c>
      <c r="D54">
        <f t="shared" si="1"/>
        <v>0</v>
      </c>
      <c r="E54">
        <v>0</v>
      </c>
      <c r="F54">
        <v>9</v>
      </c>
    </row>
    <row r="55" spans="1:6">
      <c r="A55">
        <v>54</v>
      </c>
      <c r="B55">
        <f t="shared" ca="1" si="0"/>
        <v>162</v>
      </c>
      <c r="C55">
        <v>190</v>
      </c>
      <c r="D55">
        <f t="shared" si="1"/>
        <v>2</v>
      </c>
      <c r="E55">
        <v>1</v>
      </c>
      <c r="F55">
        <v>5</v>
      </c>
    </row>
    <row r="56" spans="1:6">
      <c r="A56">
        <v>55</v>
      </c>
      <c r="B56">
        <f t="shared" ca="1" si="0"/>
        <v>155</v>
      </c>
      <c r="C56">
        <v>188</v>
      </c>
      <c r="D56">
        <f t="shared" si="1"/>
        <v>2</v>
      </c>
      <c r="E56">
        <v>1</v>
      </c>
      <c r="F56">
        <v>3</v>
      </c>
    </row>
    <row r="57" spans="1:6">
      <c r="A57">
        <v>56</v>
      </c>
      <c r="B57">
        <f t="shared" ca="1" si="0"/>
        <v>165</v>
      </c>
      <c r="C57">
        <v>154</v>
      </c>
      <c r="D57">
        <f t="shared" si="1"/>
        <v>0</v>
      </c>
      <c r="E57">
        <v>0</v>
      </c>
      <c r="F57">
        <v>7</v>
      </c>
    </row>
    <row r="58" spans="1:6">
      <c r="A58">
        <v>57</v>
      </c>
      <c r="B58">
        <f t="shared" ca="1" si="0"/>
        <v>202</v>
      </c>
      <c r="C58">
        <v>162</v>
      </c>
      <c r="D58">
        <f t="shared" si="1"/>
        <v>0</v>
      </c>
      <c r="E58">
        <v>0</v>
      </c>
      <c r="F58">
        <v>5</v>
      </c>
    </row>
    <row r="59" spans="1:6">
      <c r="A59">
        <v>58</v>
      </c>
      <c r="B59">
        <f t="shared" ca="1" si="0"/>
        <v>196</v>
      </c>
      <c r="C59">
        <v>162</v>
      </c>
      <c r="D59">
        <f t="shared" si="1"/>
        <v>0</v>
      </c>
      <c r="E59">
        <v>0</v>
      </c>
      <c r="F59">
        <v>3</v>
      </c>
    </row>
    <row r="60" spans="1:6">
      <c r="A60">
        <v>59</v>
      </c>
      <c r="B60">
        <f t="shared" ca="1" si="0"/>
        <v>166</v>
      </c>
      <c r="C60">
        <v>174</v>
      </c>
      <c r="D60">
        <f t="shared" si="1"/>
        <v>1</v>
      </c>
      <c r="E60">
        <v>1</v>
      </c>
      <c r="F60">
        <v>6</v>
      </c>
    </row>
    <row r="61" spans="1:6">
      <c r="A61">
        <v>60</v>
      </c>
      <c r="B61">
        <f t="shared" ca="1" si="0"/>
        <v>162</v>
      </c>
      <c r="C61">
        <v>184</v>
      </c>
      <c r="D61">
        <f t="shared" si="1"/>
        <v>2</v>
      </c>
      <c r="E61">
        <v>1</v>
      </c>
      <c r="F61">
        <v>6</v>
      </c>
    </row>
    <row r="62" spans="1:6">
      <c r="A62">
        <v>61</v>
      </c>
      <c r="B62">
        <f t="shared" ca="1" si="0"/>
        <v>198</v>
      </c>
      <c r="C62">
        <v>203</v>
      </c>
      <c r="D62">
        <f t="shared" si="1"/>
        <v>2</v>
      </c>
      <c r="E62">
        <v>0</v>
      </c>
      <c r="F62">
        <v>1</v>
      </c>
    </row>
    <row r="63" spans="1:6">
      <c r="A63">
        <v>62</v>
      </c>
      <c r="B63">
        <f t="shared" ca="1" si="0"/>
        <v>187</v>
      </c>
      <c r="C63">
        <v>163</v>
      </c>
      <c r="D63">
        <f t="shared" si="1"/>
        <v>0</v>
      </c>
      <c r="E63">
        <v>0</v>
      </c>
      <c r="F63">
        <v>2</v>
      </c>
    </row>
    <row r="64" spans="1:6">
      <c r="A64">
        <v>63</v>
      </c>
      <c r="B64">
        <f t="shared" ca="1" si="0"/>
        <v>175</v>
      </c>
      <c r="C64">
        <v>180</v>
      </c>
      <c r="D64">
        <f t="shared" si="1"/>
        <v>1</v>
      </c>
      <c r="E64">
        <v>1</v>
      </c>
      <c r="F64">
        <v>6</v>
      </c>
    </row>
    <row r="65" spans="1:6">
      <c r="A65">
        <v>64</v>
      </c>
      <c r="B65">
        <f t="shared" ca="1" si="0"/>
        <v>205</v>
      </c>
      <c r="C65">
        <v>185</v>
      </c>
      <c r="D65">
        <f t="shared" si="1"/>
        <v>2</v>
      </c>
      <c r="E65">
        <v>1</v>
      </c>
      <c r="F65">
        <v>10</v>
      </c>
    </row>
    <row r="66" spans="1:6">
      <c r="A66">
        <v>65</v>
      </c>
      <c r="B66">
        <f t="shared" ca="1" si="0"/>
        <v>175</v>
      </c>
      <c r="C66">
        <v>204</v>
      </c>
      <c r="D66">
        <f t="shared" si="1"/>
        <v>2</v>
      </c>
      <c r="E66">
        <v>1</v>
      </c>
      <c r="F66">
        <v>4</v>
      </c>
    </row>
    <row r="67" spans="1:6">
      <c r="A67">
        <v>66</v>
      </c>
      <c r="B67">
        <f t="shared" ref="B67:B101" ca="1" si="2">RANDBETWEEN(154,210)</f>
        <v>209</v>
      </c>
      <c r="C67">
        <v>210</v>
      </c>
      <c r="D67">
        <f t="shared" ref="D67:D101" si="3">IF(C67&gt;180,2,IF(C67&lt;170,0,1))</f>
        <v>2</v>
      </c>
      <c r="E67">
        <v>1</v>
      </c>
      <c r="F67">
        <v>7</v>
      </c>
    </row>
    <row r="68" spans="1:6">
      <c r="A68">
        <v>67</v>
      </c>
      <c r="B68">
        <f t="shared" ca="1" si="2"/>
        <v>183</v>
      </c>
      <c r="C68">
        <v>190</v>
      </c>
      <c r="D68">
        <f t="shared" si="3"/>
        <v>2</v>
      </c>
      <c r="E68">
        <v>0</v>
      </c>
      <c r="F68">
        <v>1</v>
      </c>
    </row>
    <row r="69" spans="1:6">
      <c r="A69">
        <v>68</v>
      </c>
      <c r="B69">
        <f t="shared" ca="1" si="2"/>
        <v>201</v>
      </c>
      <c r="C69">
        <v>162</v>
      </c>
      <c r="D69">
        <f t="shared" si="3"/>
        <v>0</v>
      </c>
      <c r="E69">
        <v>0</v>
      </c>
      <c r="F69">
        <v>7</v>
      </c>
    </row>
    <row r="70" spans="1:6">
      <c r="A70">
        <v>69</v>
      </c>
      <c r="B70">
        <f t="shared" ca="1" si="2"/>
        <v>170</v>
      </c>
      <c r="C70">
        <v>157</v>
      </c>
      <c r="D70">
        <f t="shared" si="3"/>
        <v>0</v>
      </c>
      <c r="E70">
        <v>0</v>
      </c>
      <c r="F70">
        <v>7</v>
      </c>
    </row>
    <row r="71" spans="1:6">
      <c r="A71">
        <v>70</v>
      </c>
      <c r="B71">
        <f t="shared" ca="1" si="2"/>
        <v>207</v>
      </c>
      <c r="C71">
        <v>164</v>
      </c>
      <c r="D71">
        <f t="shared" si="3"/>
        <v>0</v>
      </c>
      <c r="E71">
        <v>0</v>
      </c>
      <c r="F71">
        <v>7</v>
      </c>
    </row>
    <row r="72" spans="1:6">
      <c r="A72">
        <v>71</v>
      </c>
      <c r="B72">
        <f t="shared" ca="1" si="2"/>
        <v>157</v>
      </c>
      <c r="C72">
        <v>183</v>
      </c>
      <c r="D72">
        <f t="shared" si="3"/>
        <v>2</v>
      </c>
      <c r="E72">
        <v>1</v>
      </c>
      <c r="F72">
        <v>2</v>
      </c>
    </row>
    <row r="73" spans="1:6">
      <c r="A73">
        <v>72</v>
      </c>
      <c r="B73">
        <f t="shared" ca="1" si="2"/>
        <v>166</v>
      </c>
      <c r="C73">
        <v>158</v>
      </c>
      <c r="D73">
        <f t="shared" si="3"/>
        <v>0</v>
      </c>
      <c r="E73">
        <v>0</v>
      </c>
      <c r="F73">
        <v>9</v>
      </c>
    </row>
    <row r="74" spans="1:6">
      <c r="A74">
        <v>73</v>
      </c>
      <c r="B74">
        <f t="shared" ca="1" si="2"/>
        <v>159</v>
      </c>
      <c r="C74">
        <v>163</v>
      </c>
      <c r="D74">
        <f t="shared" si="3"/>
        <v>0</v>
      </c>
      <c r="E74">
        <v>0</v>
      </c>
      <c r="F74">
        <v>8</v>
      </c>
    </row>
    <row r="75" spans="1:6">
      <c r="A75">
        <v>74</v>
      </c>
      <c r="B75">
        <f t="shared" ca="1" si="2"/>
        <v>210</v>
      </c>
      <c r="C75">
        <v>175</v>
      </c>
      <c r="D75">
        <f t="shared" si="3"/>
        <v>1</v>
      </c>
      <c r="E75">
        <v>0</v>
      </c>
      <c r="F75">
        <v>1</v>
      </c>
    </row>
    <row r="76" spans="1:6">
      <c r="A76">
        <v>75</v>
      </c>
      <c r="B76">
        <f t="shared" ca="1" si="2"/>
        <v>176</v>
      </c>
      <c r="C76">
        <v>172</v>
      </c>
      <c r="D76">
        <f t="shared" si="3"/>
        <v>1</v>
      </c>
      <c r="E76">
        <v>1</v>
      </c>
      <c r="F76">
        <v>10</v>
      </c>
    </row>
    <row r="77" spans="1:6">
      <c r="A77">
        <v>76</v>
      </c>
      <c r="B77">
        <f t="shared" ca="1" si="2"/>
        <v>167</v>
      </c>
      <c r="C77">
        <v>157</v>
      </c>
      <c r="D77">
        <f t="shared" si="3"/>
        <v>0</v>
      </c>
      <c r="E77">
        <v>0</v>
      </c>
      <c r="F77">
        <v>4</v>
      </c>
    </row>
    <row r="78" spans="1:6">
      <c r="A78">
        <v>77</v>
      </c>
      <c r="B78">
        <f t="shared" ca="1" si="2"/>
        <v>202</v>
      </c>
      <c r="C78">
        <v>168</v>
      </c>
      <c r="D78">
        <f t="shared" si="3"/>
        <v>0</v>
      </c>
      <c r="E78">
        <v>0</v>
      </c>
      <c r="F78">
        <v>1</v>
      </c>
    </row>
    <row r="79" spans="1:6">
      <c r="A79">
        <v>78</v>
      </c>
      <c r="B79">
        <f t="shared" ca="1" si="2"/>
        <v>209</v>
      </c>
      <c r="C79">
        <v>158</v>
      </c>
      <c r="D79">
        <f t="shared" si="3"/>
        <v>0</v>
      </c>
      <c r="E79">
        <v>0</v>
      </c>
      <c r="F79">
        <v>5</v>
      </c>
    </row>
    <row r="80" spans="1:6">
      <c r="A80">
        <v>79</v>
      </c>
      <c r="B80">
        <f t="shared" ca="1" si="2"/>
        <v>210</v>
      </c>
      <c r="C80">
        <v>195</v>
      </c>
      <c r="D80">
        <f t="shared" si="3"/>
        <v>2</v>
      </c>
      <c r="E80">
        <v>1</v>
      </c>
      <c r="F80">
        <v>4</v>
      </c>
    </row>
    <row r="81" spans="1:6">
      <c r="A81">
        <v>80</v>
      </c>
      <c r="B81">
        <f t="shared" ca="1" si="2"/>
        <v>184</v>
      </c>
      <c r="C81">
        <v>203</v>
      </c>
      <c r="D81">
        <f t="shared" si="3"/>
        <v>2</v>
      </c>
      <c r="E81">
        <v>1</v>
      </c>
      <c r="F81">
        <v>8</v>
      </c>
    </row>
    <row r="82" spans="1:6">
      <c r="A82">
        <v>81</v>
      </c>
      <c r="B82">
        <f t="shared" ca="1" si="2"/>
        <v>194</v>
      </c>
      <c r="C82">
        <v>161</v>
      </c>
      <c r="D82">
        <f t="shared" si="3"/>
        <v>0</v>
      </c>
      <c r="E82">
        <v>1</v>
      </c>
      <c r="F82">
        <v>10</v>
      </c>
    </row>
    <row r="83" spans="1:6">
      <c r="A83">
        <v>82</v>
      </c>
      <c r="B83">
        <f t="shared" ca="1" si="2"/>
        <v>172</v>
      </c>
      <c r="C83">
        <v>189</v>
      </c>
      <c r="D83">
        <f t="shared" si="3"/>
        <v>2</v>
      </c>
      <c r="E83">
        <v>1</v>
      </c>
      <c r="F83">
        <v>4</v>
      </c>
    </row>
    <row r="84" spans="1:6">
      <c r="A84">
        <v>83</v>
      </c>
      <c r="B84">
        <f t="shared" ca="1" si="2"/>
        <v>159</v>
      </c>
      <c r="C84">
        <v>185</v>
      </c>
      <c r="D84">
        <f t="shared" si="3"/>
        <v>2</v>
      </c>
      <c r="E84">
        <v>1</v>
      </c>
      <c r="F84">
        <v>5</v>
      </c>
    </row>
    <row r="85" spans="1:6">
      <c r="A85">
        <v>84</v>
      </c>
      <c r="B85">
        <f t="shared" ca="1" si="2"/>
        <v>203</v>
      </c>
      <c r="C85">
        <v>154</v>
      </c>
      <c r="D85">
        <f t="shared" si="3"/>
        <v>0</v>
      </c>
      <c r="E85">
        <v>0</v>
      </c>
      <c r="F85">
        <v>4</v>
      </c>
    </row>
    <row r="86" spans="1:6">
      <c r="A86">
        <v>85</v>
      </c>
      <c r="B86">
        <f t="shared" ca="1" si="2"/>
        <v>155</v>
      </c>
      <c r="C86">
        <v>179</v>
      </c>
      <c r="D86">
        <f t="shared" si="3"/>
        <v>1</v>
      </c>
      <c r="E86">
        <v>1</v>
      </c>
      <c r="F86">
        <v>10</v>
      </c>
    </row>
    <row r="87" spans="1:6">
      <c r="A87">
        <v>86</v>
      </c>
      <c r="B87">
        <f t="shared" ca="1" si="2"/>
        <v>174</v>
      </c>
      <c r="C87">
        <v>174</v>
      </c>
      <c r="D87">
        <f t="shared" si="3"/>
        <v>1</v>
      </c>
      <c r="E87">
        <v>0</v>
      </c>
      <c r="F87">
        <v>2</v>
      </c>
    </row>
    <row r="88" spans="1:6">
      <c r="A88">
        <v>87</v>
      </c>
      <c r="B88">
        <f t="shared" ca="1" si="2"/>
        <v>164</v>
      </c>
      <c r="C88">
        <v>189</v>
      </c>
      <c r="D88">
        <f t="shared" si="3"/>
        <v>2</v>
      </c>
      <c r="E88">
        <v>1</v>
      </c>
      <c r="F88">
        <v>5</v>
      </c>
    </row>
    <row r="89" spans="1:6">
      <c r="A89">
        <v>88</v>
      </c>
      <c r="B89">
        <f t="shared" ca="1" si="2"/>
        <v>208</v>
      </c>
      <c r="C89">
        <v>184</v>
      </c>
      <c r="D89">
        <f t="shared" si="3"/>
        <v>2</v>
      </c>
      <c r="E89">
        <v>1</v>
      </c>
      <c r="F89">
        <v>3</v>
      </c>
    </row>
    <row r="90" spans="1:6">
      <c r="A90">
        <v>89</v>
      </c>
      <c r="B90">
        <f t="shared" ca="1" si="2"/>
        <v>199</v>
      </c>
      <c r="C90">
        <v>205</v>
      </c>
      <c r="D90">
        <f t="shared" si="3"/>
        <v>2</v>
      </c>
      <c r="E90">
        <v>1</v>
      </c>
      <c r="F90">
        <v>9</v>
      </c>
    </row>
    <row r="91" spans="1:6">
      <c r="A91">
        <v>90</v>
      </c>
      <c r="B91">
        <f t="shared" ca="1" si="2"/>
        <v>190</v>
      </c>
      <c r="C91">
        <v>185</v>
      </c>
      <c r="D91">
        <f t="shared" si="3"/>
        <v>2</v>
      </c>
      <c r="E91">
        <v>1</v>
      </c>
      <c r="F91">
        <v>8</v>
      </c>
    </row>
    <row r="92" spans="1:6">
      <c r="A92">
        <v>91</v>
      </c>
      <c r="B92">
        <f t="shared" ca="1" si="2"/>
        <v>195</v>
      </c>
      <c r="C92">
        <v>163</v>
      </c>
      <c r="D92">
        <f t="shared" si="3"/>
        <v>0</v>
      </c>
      <c r="E92">
        <v>0</v>
      </c>
      <c r="F92">
        <v>3</v>
      </c>
    </row>
    <row r="93" spans="1:6">
      <c r="A93">
        <v>92</v>
      </c>
      <c r="B93">
        <f t="shared" ca="1" si="2"/>
        <v>194</v>
      </c>
      <c r="C93">
        <v>161</v>
      </c>
      <c r="D93">
        <f t="shared" si="3"/>
        <v>0</v>
      </c>
      <c r="E93">
        <v>0</v>
      </c>
      <c r="F93">
        <v>1</v>
      </c>
    </row>
    <row r="94" spans="1:6">
      <c r="A94">
        <v>93</v>
      </c>
      <c r="B94">
        <f t="shared" ca="1" si="2"/>
        <v>181</v>
      </c>
      <c r="C94">
        <v>202</v>
      </c>
      <c r="D94">
        <f t="shared" si="3"/>
        <v>2</v>
      </c>
      <c r="E94">
        <v>1</v>
      </c>
      <c r="F94">
        <v>5</v>
      </c>
    </row>
    <row r="95" spans="1:6">
      <c r="A95">
        <v>94</v>
      </c>
      <c r="B95">
        <f t="shared" ca="1" si="2"/>
        <v>209</v>
      </c>
      <c r="C95">
        <v>165</v>
      </c>
      <c r="D95">
        <f t="shared" si="3"/>
        <v>0</v>
      </c>
      <c r="E95">
        <v>0</v>
      </c>
      <c r="F95">
        <v>5</v>
      </c>
    </row>
    <row r="96" spans="1:6">
      <c r="A96">
        <v>95</v>
      </c>
      <c r="B96">
        <f t="shared" ca="1" si="2"/>
        <v>156</v>
      </c>
      <c r="C96">
        <v>181</v>
      </c>
      <c r="D96">
        <f t="shared" si="3"/>
        <v>2</v>
      </c>
      <c r="E96">
        <v>1</v>
      </c>
      <c r="F96">
        <v>6</v>
      </c>
    </row>
    <row r="97" spans="1:6">
      <c r="A97">
        <v>96</v>
      </c>
      <c r="B97">
        <f t="shared" ca="1" si="2"/>
        <v>199</v>
      </c>
      <c r="C97">
        <v>176</v>
      </c>
      <c r="D97">
        <f t="shared" si="3"/>
        <v>1</v>
      </c>
      <c r="E97">
        <v>1</v>
      </c>
      <c r="F97">
        <v>9</v>
      </c>
    </row>
    <row r="98" spans="1:6">
      <c r="A98">
        <v>97</v>
      </c>
      <c r="B98">
        <f t="shared" ca="1" si="2"/>
        <v>162</v>
      </c>
      <c r="C98">
        <v>162</v>
      </c>
      <c r="D98">
        <f t="shared" si="3"/>
        <v>0</v>
      </c>
      <c r="E98">
        <v>0</v>
      </c>
      <c r="F98">
        <v>5</v>
      </c>
    </row>
    <row r="99" spans="1:6">
      <c r="A99">
        <v>98</v>
      </c>
      <c r="B99">
        <f t="shared" ca="1" si="2"/>
        <v>200</v>
      </c>
      <c r="C99">
        <v>202</v>
      </c>
      <c r="D99">
        <f t="shared" si="3"/>
        <v>2</v>
      </c>
      <c r="E99">
        <v>1</v>
      </c>
      <c r="F99">
        <v>9</v>
      </c>
    </row>
    <row r="100" spans="1:6">
      <c r="A100">
        <v>99</v>
      </c>
      <c r="B100">
        <f t="shared" ca="1" si="2"/>
        <v>154</v>
      </c>
      <c r="C100">
        <v>196</v>
      </c>
      <c r="D100">
        <f t="shared" si="3"/>
        <v>2</v>
      </c>
      <c r="E100">
        <v>1</v>
      </c>
      <c r="F100">
        <v>7</v>
      </c>
    </row>
    <row r="101" spans="1:6">
      <c r="A101">
        <v>100</v>
      </c>
      <c r="B101">
        <f t="shared" ca="1" si="2"/>
        <v>159</v>
      </c>
      <c r="C101">
        <v>205</v>
      </c>
      <c r="D101">
        <f t="shared" si="3"/>
        <v>2</v>
      </c>
      <c r="E101">
        <v>1</v>
      </c>
      <c r="F10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0"/>
  <sheetViews>
    <sheetView topLeftCell="A124" workbookViewId="0">
      <selection activeCell="E1" sqref="E1:E101"/>
    </sheetView>
  </sheetViews>
  <sheetFormatPr defaultRowHeight="14.4"/>
  <cols>
    <col min="2" max="2" width="15.77734375" customWidth="1"/>
    <col min="3" max="3" width="17.44140625" customWidth="1"/>
    <col min="4" max="4" width="12" customWidth="1"/>
    <col min="6" max="6" width="10.5546875" customWidth="1"/>
    <col min="7" max="7" width="11.109375" customWidth="1"/>
    <col min="9" max="9" width="8.44140625" customWidth="1"/>
    <col min="10" max="10" width="5.6640625" customWidth="1"/>
    <col min="11" max="11" width="7.109375" customWidth="1"/>
    <col min="12" max="12" width="5.77734375" customWidth="1"/>
  </cols>
  <sheetData>
    <row r="1" spans="1:17">
      <c r="A1" s="1" t="s">
        <v>1</v>
      </c>
      <c r="B1" s="1" t="s">
        <v>4</v>
      </c>
      <c r="C1" s="1" t="s">
        <v>6</v>
      </c>
      <c r="D1" s="4" t="s">
        <v>28</v>
      </c>
      <c r="E1" s="4" t="s">
        <v>29</v>
      </c>
      <c r="F1" s="1" t="s">
        <v>31</v>
      </c>
      <c r="G1" s="4" t="s">
        <v>33</v>
      </c>
    </row>
    <row r="2" spans="1:17">
      <c r="A2" s="2">
        <v>56</v>
      </c>
      <c r="B2" s="2">
        <v>154</v>
      </c>
      <c r="C2" s="2">
        <v>0</v>
      </c>
      <c r="D2" s="1">
        <f>1/(1+EXP(-B2*$I$138-$I$139))</f>
        <v>7.4137792297456415E-2</v>
      </c>
      <c r="E2" s="1">
        <f>IF(D2&gt;=$I$140,1,0)</f>
        <v>0</v>
      </c>
      <c r="F2" s="1">
        <f>IF(C2=E2,1,0)</f>
        <v>1</v>
      </c>
      <c r="G2" s="1">
        <f>IF(B2*$J$138+$J$139&gt;=$I$140,1,0)</f>
        <v>0</v>
      </c>
    </row>
    <row r="3" spans="1:17">
      <c r="A3" s="2">
        <v>84</v>
      </c>
      <c r="B3" s="2">
        <v>154</v>
      </c>
      <c r="C3" s="2">
        <v>0</v>
      </c>
      <c r="D3" s="1">
        <f>1/(1+EXP(-B3*$I$138-$I$139))</f>
        <v>7.4137792297456415E-2</v>
      </c>
      <c r="E3" s="1">
        <f>IF(D3&gt;=$I$140,1,0)</f>
        <v>0</v>
      </c>
      <c r="F3" s="1">
        <f t="shared" ref="F3:F66" si="0">IF(C3=E3,1,0)</f>
        <v>1</v>
      </c>
      <c r="G3" s="1">
        <f t="shared" ref="G3:G66" si="1">IF(B3*$J$138+$J$139&gt;=$I$140,1,0)</f>
        <v>0</v>
      </c>
    </row>
    <row r="4" spans="1:17">
      <c r="A4" s="2">
        <v>28</v>
      </c>
      <c r="B4" s="2">
        <v>155</v>
      </c>
      <c r="C4" s="2">
        <v>0</v>
      </c>
      <c r="D4" s="1">
        <f>1/(1+EXP(-B4*$I$138-$I$139))</f>
        <v>8.2149029898133594E-2</v>
      </c>
      <c r="E4" s="1">
        <f>IF(D4&gt;=$I$140,1,0)</f>
        <v>0</v>
      </c>
      <c r="F4" s="1">
        <f t="shared" si="0"/>
        <v>1</v>
      </c>
      <c r="G4" s="1">
        <f t="shared" si="1"/>
        <v>0</v>
      </c>
    </row>
    <row r="5" spans="1:17">
      <c r="A5" s="2">
        <v>43</v>
      </c>
      <c r="B5" s="2">
        <v>155</v>
      </c>
      <c r="C5" s="2">
        <v>0</v>
      </c>
      <c r="D5" s="1">
        <f>1/(1+EXP(-B5*$I$138-$I$139))</f>
        <v>8.2149029898133594E-2</v>
      </c>
      <c r="E5" s="1">
        <f>IF(D5&gt;=$I$140,1,0)</f>
        <v>0</v>
      </c>
      <c r="F5" s="1">
        <f t="shared" si="0"/>
        <v>1</v>
      </c>
      <c r="G5" s="1">
        <f t="shared" si="1"/>
        <v>0</v>
      </c>
      <c r="I5" s="1"/>
      <c r="J5" s="1" t="s">
        <v>19</v>
      </c>
      <c r="K5" s="1" t="s">
        <v>21</v>
      </c>
      <c r="L5" s="1" t="s">
        <v>20</v>
      </c>
      <c r="M5" s="1" t="s">
        <v>22</v>
      </c>
      <c r="N5" s="4" t="s">
        <v>23</v>
      </c>
      <c r="O5" s="4" t="s">
        <v>24</v>
      </c>
      <c r="P5" s="4" t="s">
        <v>25</v>
      </c>
      <c r="Q5" s="4" t="s">
        <v>28</v>
      </c>
    </row>
    <row r="6" spans="1:17">
      <c r="A6" s="2">
        <v>9</v>
      </c>
      <c r="B6" s="2">
        <v>157</v>
      </c>
      <c r="C6" s="2">
        <v>0</v>
      </c>
      <c r="D6" s="1">
        <f>1/(1+EXP(-B6*$I$138-$I$139))</f>
        <v>0.10057065371549112</v>
      </c>
      <c r="E6" s="1">
        <f>IF(D6&gt;=$I$140,1,0)</f>
        <v>0</v>
      </c>
      <c r="F6" s="1">
        <f t="shared" si="0"/>
        <v>1</v>
      </c>
      <c r="G6" s="1">
        <f t="shared" si="1"/>
        <v>0</v>
      </c>
      <c r="I6" s="1" t="s">
        <v>11</v>
      </c>
      <c r="J6" s="1">
        <f>B2</f>
        <v>154</v>
      </c>
      <c r="K6" s="1">
        <f>(J6+L6)/2</f>
        <v>157.5</v>
      </c>
      <c r="L6" s="1">
        <f>J6+H117</f>
        <v>161</v>
      </c>
      <c r="M6" s="1">
        <f>AVERAGE(C2:C15)</f>
        <v>7.1428571428571425E-2</v>
      </c>
      <c r="N6" s="1">
        <v>7.1428570999999996E-2</v>
      </c>
      <c r="O6" s="1">
        <f>N6/(1-N6)</f>
        <v>7.6923076426035505E-2</v>
      </c>
      <c r="P6" s="1">
        <f>LN(O6)</f>
        <v>-2.5649493639230752</v>
      </c>
      <c r="Q6" s="1">
        <f>1/(1+EXP(-K6*$I$138-$I$139))</f>
        <v>0.10571762088975999</v>
      </c>
    </row>
    <row r="7" spans="1:17">
      <c r="A7" s="2">
        <v>69</v>
      </c>
      <c r="B7" s="2">
        <v>157</v>
      </c>
      <c r="C7" s="2">
        <v>0</v>
      </c>
      <c r="D7" s="1">
        <f>1/(1+EXP(-B7*$I$138-$I$139))</f>
        <v>0.10057065371549112</v>
      </c>
      <c r="E7" s="1">
        <f>IF(D7&gt;=$I$140,1,0)</f>
        <v>0</v>
      </c>
      <c r="F7" s="1">
        <f t="shared" si="0"/>
        <v>1</v>
      </c>
      <c r="G7" s="1">
        <f t="shared" si="1"/>
        <v>0</v>
      </c>
      <c r="I7" s="1" t="s">
        <v>12</v>
      </c>
      <c r="J7" s="1">
        <f>L6</f>
        <v>161</v>
      </c>
      <c r="K7" s="1">
        <f t="shared" ref="K7:K13" si="2">(J7+L7)/2</f>
        <v>164.5</v>
      </c>
      <c r="L7" s="1">
        <f>J7+H117</f>
        <v>168</v>
      </c>
      <c r="M7" s="1">
        <f>AVERAGE(C16:C31)</f>
        <v>0.125</v>
      </c>
      <c r="N7" s="1">
        <v>0.125</v>
      </c>
      <c r="O7" s="1">
        <f t="shared" ref="O7:O13" si="3">N7/(1-N7)</f>
        <v>0.14285714285714285</v>
      </c>
      <c r="P7" s="1">
        <f t="shared" ref="P7:P13" si="4">LN(O7)</f>
        <v>-1.9459101490553135</v>
      </c>
      <c r="Q7" s="1">
        <f>1/(1+EXP(-K7*$I$138-$I$139))</f>
        <v>0.20486674069461155</v>
      </c>
    </row>
    <row r="8" spans="1:17">
      <c r="A8" s="2">
        <v>76</v>
      </c>
      <c r="B8" s="2">
        <v>157</v>
      </c>
      <c r="C8" s="2">
        <v>0</v>
      </c>
      <c r="D8" s="1">
        <f>1/(1+EXP(-B8*$I$138-$I$139))</f>
        <v>0.10057065371549112</v>
      </c>
      <c r="E8" s="1">
        <f>IF(D8&gt;=$I$140,1,0)</f>
        <v>0</v>
      </c>
      <c r="F8" s="1">
        <f t="shared" si="0"/>
        <v>1</v>
      </c>
      <c r="G8" s="1">
        <f t="shared" si="1"/>
        <v>0</v>
      </c>
      <c r="I8" s="1" t="s">
        <v>13</v>
      </c>
      <c r="J8" s="1">
        <f>L7</f>
        <v>168</v>
      </c>
      <c r="K8" s="1">
        <f t="shared" si="2"/>
        <v>171.5</v>
      </c>
      <c r="L8" s="1">
        <f>J8+H117</f>
        <v>175</v>
      </c>
      <c r="M8" s="1">
        <f>AVERAGE(C32:C40)</f>
        <v>0.44444444444444442</v>
      </c>
      <c r="N8" s="1">
        <v>0.44444444399999999</v>
      </c>
      <c r="O8" s="1">
        <f t="shared" si="3"/>
        <v>0.79999999855999993</v>
      </c>
      <c r="P8" s="1">
        <f t="shared" si="4"/>
        <v>-0.22314355311420986</v>
      </c>
      <c r="Q8" s="1">
        <f>1/(1+EXP(-K8*$I$138-$I$139))</f>
        <v>0.35961167073111627</v>
      </c>
    </row>
    <row r="9" spans="1:17">
      <c r="A9" s="2">
        <v>33</v>
      </c>
      <c r="B9" s="2">
        <v>158</v>
      </c>
      <c r="C9" s="2">
        <v>0</v>
      </c>
      <c r="D9" s="1">
        <f>1/(1+EXP(-B9*$I$138-$I$139))</f>
        <v>0.11109546187103139</v>
      </c>
      <c r="E9" s="1">
        <f>IF(D9&gt;=$I$140,1,0)</f>
        <v>0</v>
      </c>
      <c r="F9" s="1">
        <f t="shared" si="0"/>
        <v>1</v>
      </c>
      <c r="G9" s="1">
        <f t="shared" si="1"/>
        <v>0</v>
      </c>
      <c r="I9" s="1" t="s">
        <v>14</v>
      </c>
      <c r="J9" s="1">
        <f>L8</f>
        <v>175</v>
      </c>
      <c r="K9" s="1">
        <f t="shared" si="2"/>
        <v>178.5</v>
      </c>
      <c r="L9" s="1">
        <f>J9+H117</f>
        <v>182</v>
      </c>
      <c r="M9" s="1">
        <f>AVERAGE(C41:C53)</f>
        <v>0.69230769230769229</v>
      </c>
      <c r="N9" s="1">
        <v>0.69230769199999997</v>
      </c>
      <c r="O9" s="1">
        <f t="shared" si="3"/>
        <v>2.2499999967499997</v>
      </c>
      <c r="P9" s="1">
        <f t="shared" si="4"/>
        <v>0.81093021477188421</v>
      </c>
      <c r="Q9" s="1">
        <f>1/(1+EXP(-K9*$I$138-$I$139))</f>
        <v>0.55034135427742403</v>
      </c>
    </row>
    <row r="10" spans="1:17">
      <c r="A10" s="2">
        <v>72</v>
      </c>
      <c r="B10" s="2">
        <v>158</v>
      </c>
      <c r="C10" s="2">
        <v>0</v>
      </c>
      <c r="D10" s="1">
        <f>1/(1+EXP(-B10*$I$138-$I$139))</f>
        <v>0.11109546187103139</v>
      </c>
      <c r="E10" s="1">
        <f>IF(D10&gt;=$I$140,1,0)</f>
        <v>0</v>
      </c>
      <c r="F10" s="1">
        <f t="shared" si="0"/>
        <v>1</v>
      </c>
      <c r="G10" s="1">
        <f t="shared" si="1"/>
        <v>0</v>
      </c>
      <c r="I10" s="1" t="s">
        <v>15</v>
      </c>
      <c r="J10" s="1">
        <f>L9</f>
        <v>182</v>
      </c>
      <c r="K10" s="1">
        <f t="shared" si="2"/>
        <v>185.5</v>
      </c>
      <c r="L10" s="1">
        <f>J10+H117</f>
        <v>189</v>
      </c>
      <c r="M10" s="1">
        <f>AVERAGE(C54:C66)</f>
        <v>0.84615384615384615</v>
      </c>
      <c r="N10" s="1">
        <v>0.84615384599999999</v>
      </c>
      <c r="O10" s="1">
        <f t="shared" si="3"/>
        <v>5.4999999934999995</v>
      </c>
      <c r="P10" s="1">
        <f t="shared" si="4"/>
        <v>1.7047480910566069</v>
      </c>
      <c r="Q10" s="1">
        <f>1/(1+EXP(-K10*$I$138-$I$139))</f>
        <v>0.72733634187220908</v>
      </c>
    </row>
    <row r="11" spans="1:17">
      <c r="A11" s="2">
        <v>78</v>
      </c>
      <c r="B11" s="2">
        <v>158</v>
      </c>
      <c r="C11" s="2">
        <v>0</v>
      </c>
      <c r="D11" s="1">
        <f>1/(1+EXP(-B11*$I$138-$I$139))</f>
        <v>0.11109546187103139</v>
      </c>
      <c r="E11" s="1">
        <f>IF(D11&gt;=$I$140,1,0)</f>
        <v>0</v>
      </c>
      <c r="F11" s="1">
        <f t="shared" si="0"/>
        <v>1</v>
      </c>
      <c r="G11" s="1">
        <f t="shared" si="1"/>
        <v>0</v>
      </c>
      <c r="I11" s="1" t="s">
        <v>16</v>
      </c>
      <c r="J11" s="1">
        <f>L10</f>
        <v>189</v>
      </c>
      <c r="K11" s="1">
        <f t="shared" si="2"/>
        <v>192.5</v>
      </c>
      <c r="L11" s="1">
        <f>J11+H117</f>
        <v>196</v>
      </c>
      <c r="M11" s="1">
        <f>AVERAGE(C67:C75)</f>
        <v>0.88888888888888884</v>
      </c>
      <c r="N11" s="1">
        <v>0.88888888899999996</v>
      </c>
      <c r="O11" s="1">
        <f t="shared" si="3"/>
        <v>8.0000000089999972</v>
      </c>
      <c r="P11" s="1">
        <f t="shared" si="4"/>
        <v>2.0794415428048354</v>
      </c>
      <c r="Q11" s="1">
        <f>1/(1+EXP(-K11*$I$138-$I$139))</f>
        <v>0.85324096816787076</v>
      </c>
    </row>
    <row r="12" spans="1:17">
      <c r="A12" s="2">
        <v>36</v>
      </c>
      <c r="B12" s="2">
        <v>159</v>
      </c>
      <c r="C12" s="2">
        <v>0</v>
      </c>
      <c r="D12" s="1">
        <f>1/(1+EXP(-B12*$I$138-$I$139))</f>
        <v>0.12257160081050901</v>
      </c>
      <c r="E12" s="1">
        <f>IF(D12&gt;=$I$140,1,0)</f>
        <v>0</v>
      </c>
      <c r="F12" s="1">
        <f t="shared" si="0"/>
        <v>1</v>
      </c>
      <c r="G12" s="1">
        <f t="shared" si="1"/>
        <v>0</v>
      </c>
      <c r="I12" s="1" t="s">
        <v>17</v>
      </c>
      <c r="J12" s="1">
        <f>L11</f>
        <v>196</v>
      </c>
      <c r="K12" s="1">
        <f t="shared" si="2"/>
        <v>199.5</v>
      </c>
      <c r="L12" s="1">
        <f>J12+H117</f>
        <v>203</v>
      </c>
      <c r="M12" s="1">
        <f>AVERAGE(C76:C86)</f>
        <v>0.90909090909090906</v>
      </c>
      <c r="N12" s="1">
        <v>0.909090909</v>
      </c>
      <c r="O12" s="1">
        <f t="shared" si="3"/>
        <v>9.9999999890000009</v>
      </c>
      <c r="P12" s="1">
        <f t="shared" si="4"/>
        <v>2.3025850918940458</v>
      </c>
      <c r="Q12" s="1">
        <f>1/(1+EXP(-K12*$I$138-$I$139))</f>
        <v>0.92685477205002254</v>
      </c>
    </row>
    <row r="13" spans="1:17">
      <c r="A13" s="2">
        <v>2</v>
      </c>
      <c r="B13" s="2">
        <v>160</v>
      </c>
      <c r="C13" s="2">
        <v>0</v>
      </c>
      <c r="D13" s="1">
        <f>1/(1+EXP(-B13*$I$138-$I$139))</f>
        <v>0.13505310973384341</v>
      </c>
      <c r="E13" s="1">
        <f>IF(D13&gt;=$I$140,1,0)</f>
        <v>0</v>
      </c>
      <c r="F13" s="1">
        <f t="shared" si="0"/>
        <v>1</v>
      </c>
      <c r="G13" s="1">
        <f t="shared" si="1"/>
        <v>0</v>
      </c>
      <c r="I13" s="1" t="s">
        <v>18</v>
      </c>
      <c r="J13" s="1">
        <f>L12</f>
        <v>203</v>
      </c>
      <c r="K13" s="1">
        <f t="shared" si="2"/>
        <v>206.5</v>
      </c>
      <c r="L13" s="1">
        <f>J13+H117</f>
        <v>210</v>
      </c>
      <c r="M13" s="1">
        <f>AVERAGE(C87:C101)</f>
        <v>0.93333333333333335</v>
      </c>
      <c r="N13" s="1">
        <v>0.93333333299999999</v>
      </c>
      <c r="O13" s="1">
        <f t="shared" si="3"/>
        <v>13.999999924999997</v>
      </c>
      <c r="P13" s="1">
        <f t="shared" si="4"/>
        <v>2.6390573242581157</v>
      </c>
      <c r="Q13" s="1">
        <f>1/(1+EXP(-K13*$I$138-$I$139))</f>
        <v>0.96505635912634768</v>
      </c>
    </row>
    <row r="14" spans="1:17">
      <c r="A14" s="2">
        <v>81</v>
      </c>
      <c r="B14" s="2">
        <v>161</v>
      </c>
      <c r="C14" s="2">
        <v>1</v>
      </c>
      <c r="D14" s="1">
        <f>1/(1+EXP(-B14*$I$138-$I$139))</f>
        <v>0.14859037490532476</v>
      </c>
      <c r="E14" s="1">
        <f>IF(D14&gt;=$I$140,1,0)</f>
        <v>0</v>
      </c>
      <c r="F14" s="1">
        <f t="shared" si="0"/>
        <v>0</v>
      </c>
      <c r="G14" s="1">
        <f t="shared" si="1"/>
        <v>0</v>
      </c>
    </row>
    <row r="15" spans="1:17">
      <c r="A15" s="2">
        <v>92</v>
      </c>
      <c r="B15" s="2">
        <v>161</v>
      </c>
      <c r="C15" s="2">
        <v>0</v>
      </c>
      <c r="D15" s="1">
        <f>1/(1+EXP(-B15*$I$138-$I$139))</f>
        <v>0.14859037490532476</v>
      </c>
      <c r="E15" s="1">
        <f>IF(D15&gt;=$I$140,1,0)</f>
        <v>0</v>
      </c>
      <c r="F15" s="1">
        <f t="shared" si="0"/>
        <v>1</v>
      </c>
      <c r="G15" s="1">
        <f t="shared" si="1"/>
        <v>0</v>
      </c>
    </row>
    <row r="16" spans="1:17">
      <c r="A16" s="3">
        <v>53</v>
      </c>
      <c r="B16" s="3">
        <v>162</v>
      </c>
      <c r="C16" s="3">
        <v>0</v>
      </c>
      <c r="D16" s="1">
        <f>1/(1+EXP(-B16*$I$138-$I$139))</f>
        <v>0.163228496554886</v>
      </c>
      <c r="E16" s="1">
        <f>IF(D16&gt;=$I$140,1,0)</f>
        <v>0</v>
      </c>
      <c r="F16" s="1">
        <f t="shared" si="0"/>
        <v>1</v>
      </c>
      <c r="G16" s="1">
        <f t="shared" si="1"/>
        <v>0</v>
      </c>
    </row>
    <row r="17" spans="1:7">
      <c r="A17" s="3">
        <v>57</v>
      </c>
      <c r="B17" s="3">
        <v>162</v>
      </c>
      <c r="C17" s="3">
        <v>0</v>
      </c>
      <c r="D17" s="1">
        <f>1/(1+EXP(-B17*$I$138-$I$139))</f>
        <v>0.163228496554886</v>
      </c>
      <c r="E17" s="1">
        <f>IF(D17&gt;=$I$140,1,0)</f>
        <v>0</v>
      </c>
      <c r="F17" s="1">
        <f t="shared" si="0"/>
        <v>1</v>
      </c>
      <c r="G17" s="1">
        <f t="shared" si="1"/>
        <v>0</v>
      </c>
    </row>
    <row r="18" spans="1:7">
      <c r="A18" s="3">
        <v>58</v>
      </c>
      <c r="B18" s="3">
        <v>162</v>
      </c>
      <c r="C18" s="3">
        <v>0</v>
      </c>
      <c r="D18" s="1">
        <f>1/(1+EXP(-B18*$I$138-$I$139))</f>
        <v>0.163228496554886</v>
      </c>
      <c r="E18" s="1">
        <f>IF(D18&gt;=$I$140,1,0)</f>
        <v>0</v>
      </c>
      <c r="F18" s="1">
        <f t="shared" si="0"/>
        <v>1</v>
      </c>
      <c r="G18" s="1">
        <f t="shared" si="1"/>
        <v>0</v>
      </c>
    </row>
    <row r="19" spans="1:7">
      <c r="A19" s="3">
        <v>68</v>
      </c>
      <c r="B19" s="3">
        <v>162</v>
      </c>
      <c r="C19" s="3">
        <v>0</v>
      </c>
      <c r="D19" s="1">
        <f>1/(1+EXP(-B19*$I$138-$I$139))</f>
        <v>0.163228496554886</v>
      </c>
      <c r="E19" s="1">
        <f>IF(D19&gt;=$I$140,1,0)</f>
        <v>0</v>
      </c>
      <c r="F19" s="1">
        <f t="shared" si="0"/>
        <v>1</v>
      </c>
      <c r="G19" s="1">
        <f t="shared" si="1"/>
        <v>0</v>
      </c>
    </row>
    <row r="20" spans="1:7">
      <c r="A20" s="3">
        <v>97</v>
      </c>
      <c r="B20" s="3">
        <v>162</v>
      </c>
      <c r="C20" s="3">
        <v>0</v>
      </c>
      <c r="D20" s="1">
        <f>1/(1+EXP(-B20*$I$138-$I$139))</f>
        <v>0.163228496554886</v>
      </c>
      <c r="E20" s="1">
        <f>IF(D20&gt;=$I$140,1,0)</f>
        <v>0</v>
      </c>
      <c r="F20" s="1">
        <f t="shared" si="0"/>
        <v>1</v>
      </c>
      <c r="G20" s="1">
        <f t="shared" si="1"/>
        <v>0</v>
      </c>
    </row>
    <row r="21" spans="1:7">
      <c r="A21" s="3">
        <v>47</v>
      </c>
      <c r="B21" s="3">
        <v>163</v>
      </c>
      <c r="C21" s="3">
        <v>0</v>
      </c>
      <c r="D21" s="1">
        <f>1/(1+EXP(-B21*$I$138-$I$139))</f>
        <v>0.17900548216711332</v>
      </c>
      <c r="E21" s="1">
        <f>IF(D21&gt;=$I$140,1,0)</f>
        <v>0</v>
      </c>
      <c r="F21" s="1">
        <f t="shared" si="0"/>
        <v>1</v>
      </c>
      <c r="G21" s="1">
        <f t="shared" si="1"/>
        <v>0</v>
      </c>
    </row>
    <row r="22" spans="1:7">
      <c r="A22" s="3">
        <v>62</v>
      </c>
      <c r="B22" s="3">
        <v>163</v>
      </c>
      <c r="C22" s="3">
        <v>0</v>
      </c>
      <c r="D22" s="1">
        <f>1/(1+EXP(-B22*$I$138-$I$139))</f>
        <v>0.17900548216711332</v>
      </c>
      <c r="E22" s="1">
        <f>IF(D22&gt;=$I$140,1,0)</f>
        <v>0</v>
      </c>
      <c r="F22" s="1">
        <f t="shared" si="0"/>
        <v>1</v>
      </c>
      <c r="G22" s="1">
        <f t="shared" si="1"/>
        <v>0</v>
      </c>
    </row>
    <row r="23" spans="1:7">
      <c r="A23" s="3">
        <v>73</v>
      </c>
      <c r="B23" s="3">
        <v>163</v>
      </c>
      <c r="C23" s="3">
        <v>0</v>
      </c>
      <c r="D23" s="1">
        <f>1/(1+EXP(-B23*$I$138-$I$139))</f>
        <v>0.17900548216711332</v>
      </c>
      <c r="E23" s="1">
        <f>IF(D23&gt;=$I$140,1,0)</f>
        <v>0</v>
      </c>
      <c r="F23" s="1">
        <f t="shared" si="0"/>
        <v>1</v>
      </c>
      <c r="G23" s="1">
        <f t="shared" si="1"/>
        <v>0</v>
      </c>
    </row>
    <row r="24" spans="1:7">
      <c r="A24" s="3">
        <v>91</v>
      </c>
      <c r="B24" s="3">
        <v>163</v>
      </c>
      <c r="C24" s="3">
        <v>1</v>
      </c>
      <c r="D24" s="1">
        <f>1/(1+EXP(-B24*$I$138-$I$139))</f>
        <v>0.17900548216711332</v>
      </c>
      <c r="E24" s="1">
        <f>IF(D24&gt;=$I$140,1,0)</f>
        <v>0</v>
      </c>
      <c r="F24" s="1">
        <f t="shared" si="0"/>
        <v>0</v>
      </c>
      <c r="G24" s="1">
        <f t="shared" si="1"/>
        <v>0</v>
      </c>
    </row>
    <row r="25" spans="1:7">
      <c r="A25" s="3">
        <v>70</v>
      </c>
      <c r="B25" s="3">
        <v>164</v>
      </c>
      <c r="C25" s="3">
        <v>0</v>
      </c>
      <c r="D25" s="1">
        <f>1/(1+EXP(-B25*$I$138-$I$139))</f>
        <v>0.19595030433927757</v>
      </c>
      <c r="E25" s="1">
        <f>IF(D25&gt;=$I$140,1,0)</f>
        <v>0</v>
      </c>
      <c r="F25" s="1">
        <f t="shared" si="0"/>
        <v>1</v>
      </c>
      <c r="G25" s="1">
        <f t="shared" si="1"/>
        <v>0</v>
      </c>
    </row>
    <row r="26" spans="1:7">
      <c r="A26" s="3">
        <v>12</v>
      </c>
      <c r="B26" s="3">
        <v>165</v>
      </c>
      <c r="C26" s="3">
        <v>0</v>
      </c>
      <c r="D26" s="1">
        <f>1/(1+EXP(-B26*$I$138-$I$139))</f>
        <v>0.21408087980263088</v>
      </c>
      <c r="E26" s="1">
        <f>IF(D26&gt;=$I$140,1,0)</f>
        <v>0</v>
      </c>
      <c r="F26" s="1">
        <f t="shared" si="0"/>
        <v>1</v>
      </c>
      <c r="G26" s="1">
        <f t="shared" si="1"/>
        <v>0</v>
      </c>
    </row>
    <row r="27" spans="1:7">
      <c r="A27" s="3">
        <v>94</v>
      </c>
      <c r="B27" s="3">
        <v>165</v>
      </c>
      <c r="C27" s="3">
        <v>0</v>
      </c>
      <c r="D27" s="1">
        <f>1/(1+EXP(-B27*$I$138-$I$139))</f>
        <v>0.21408087980263088</v>
      </c>
      <c r="E27" s="1">
        <f>IF(D27&gt;=$I$140,1,0)</f>
        <v>0</v>
      </c>
      <c r="F27" s="1">
        <f t="shared" si="0"/>
        <v>1</v>
      </c>
      <c r="G27" s="1">
        <f t="shared" si="1"/>
        <v>0</v>
      </c>
    </row>
    <row r="28" spans="1:7">
      <c r="A28" s="3">
        <v>14</v>
      </c>
      <c r="B28" s="3">
        <v>166</v>
      </c>
      <c r="C28" s="3">
        <v>1</v>
      </c>
      <c r="D28" s="1">
        <f>1/(1+EXP(-B28*$I$138-$I$139))</f>
        <v>0.23340204566617662</v>
      </c>
      <c r="E28" s="1">
        <f>IF(D28&gt;=$I$140,1,0)</f>
        <v>0</v>
      </c>
      <c r="F28" s="1">
        <f t="shared" si="0"/>
        <v>0</v>
      </c>
      <c r="G28" s="1">
        <f t="shared" si="1"/>
        <v>0</v>
      </c>
    </row>
    <row r="29" spans="1:7">
      <c r="A29" s="3">
        <v>34</v>
      </c>
      <c r="B29" s="3">
        <v>166</v>
      </c>
      <c r="C29" s="3">
        <v>0</v>
      </c>
      <c r="D29" s="1">
        <f>1/(1+EXP(-B29*$I$138-$I$139))</f>
        <v>0.23340204566617662</v>
      </c>
      <c r="E29" s="1">
        <f>IF(D29&gt;=$I$140,1,0)</f>
        <v>0</v>
      </c>
      <c r="F29" s="1">
        <f t="shared" si="0"/>
        <v>1</v>
      </c>
      <c r="G29" s="1">
        <f t="shared" si="1"/>
        <v>0</v>
      </c>
    </row>
    <row r="30" spans="1:7">
      <c r="A30" s="3">
        <v>3</v>
      </c>
      <c r="B30" s="3">
        <v>167</v>
      </c>
      <c r="C30" s="3">
        <v>0</v>
      </c>
      <c r="D30" s="1">
        <f>1/(1+EXP(-B30*$I$138-$I$139))</f>
        <v>0.25390362783859188</v>
      </c>
      <c r="E30" s="1">
        <f>IF(D30&gt;=$I$140,1,0)</f>
        <v>0</v>
      </c>
      <c r="F30" s="1">
        <f t="shared" si="0"/>
        <v>1</v>
      </c>
      <c r="G30" s="1">
        <f t="shared" si="1"/>
        <v>0</v>
      </c>
    </row>
    <row r="31" spans="1:7">
      <c r="A31" s="3">
        <v>77</v>
      </c>
      <c r="B31" s="3">
        <v>168</v>
      </c>
      <c r="C31" s="3">
        <v>0</v>
      </c>
      <c r="D31" s="1">
        <f>1/(1+EXP(-B31*$I$138-$I$139))</f>
        <v>0.27555871278330507</v>
      </c>
      <c r="E31" s="1">
        <f>IF(D31&gt;=$I$140,1,0)</f>
        <v>0</v>
      </c>
      <c r="F31" s="1">
        <f t="shared" si="0"/>
        <v>1</v>
      </c>
      <c r="G31" s="1">
        <f t="shared" si="1"/>
        <v>0</v>
      </c>
    </row>
    <row r="32" spans="1:7">
      <c r="A32" s="2">
        <v>25</v>
      </c>
      <c r="B32" s="2">
        <v>171</v>
      </c>
      <c r="C32" s="2">
        <v>1</v>
      </c>
      <c r="D32" s="1">
        <f>1/(1+EXP(-B32*$I$138-$I$139))</f>
        <v>0.34689857333539909</v>
      </c>
      <c r="E32" s="1">
        <f>IF(D32&gt;=$I$140,1,0)</f>
        <v>0</v>
      </c>
      <c r="F32" s="1">
        <f t="shared" si="0"/>
        <v>0</v>
      </c>
      <c r="G32" s="1">
        <f t="shared" si="1"/>
        <v>0</v>
      </c>
    </row>
    <row r="33" spans="1:7">
      <c r="A33" s="2">
        <v>44</v>
      </c>
      <c r="B33" s="2">
        <v>171</v>
      </c>
      <c r="C33" s="2">
        <v>0</v>
      </c>
      <c r="D33" s="1">
        <f>1/(1+EXP(-B33*$I$138-$I$139))</f>
        <v>0.34689857333539909</v>
      </c>
      <c r="E33" s="1">
        <f>IF(D33&gt;=$I$140,1,0)</f>
        <v>0</v>
      </c>
      <c r="F33" s="1">
        <f t="shared" si="0"/>
        <v>1</v>
      </c>
      <c r="G33" s="1">
        <f t="shared" si="1"/>
        <v>0</v>
      </c>
    </row>
    <row r="34" spans="1:7">
      <c r="A34" s="2">
        <v>49</v>
      </c>
      <c r="B34" s="2">
        <v>172</v>
      </c>
      <c r="C34" s="2">
        <v>0</v>
      </c>
      <c r="D34" s="1">
        <f>1/(1+EXP(-B34*$I$138-$I$139))</f>
        <v>0.37252492517969843</v>
      </c>
      <c r="E34" s="1">
        <f>IF(D34&gt;=$I$140,1,0)</f>
        <v>0</v>
      </c>
      <c r="F34" s="1">
        <f t="shared" si="0"/>
        <v>1</v>
      </c>
      <c r="G34" s="1">
        <f t="shared" si="1"/>
        <v>0</v>
      </c>
    </row>
    <row r="35" spans="1:7">
      <c r="A35" s="2">
        <v>75</v>
      </c>
      <c r="B35" s="2">
        <v>172</v>
      </c>
      <c r="C35" s="2">
        <v>1</v>
      </c>
      <c r="D35" s="1">
        <f>1/(1+EXP(-B35*$I$138-$I$139))</f>
        <v>0.37252492517969843</v>
      </c>
      <c r="E35" s="1">
        <f>IF(D35&gt;=$I$140,1,0)</f>
        <v>0</v>
      </c>
      <c r="F35" s="1">
        <f t="shared" si="0"/>
        <v>0</v>
      </c>
      <c r="G35" s="1">
        <f t="shared" si="1"/>
        <v>0</v>
      </c>
    </row>
    <row r="36" spans="1:7">
      <c r="A36" s="2">
        <v>6</v>
      </c>
      <c r="B36" s="2">
        <v>173</v>
      </c>
      <c r="C36" s="2">
        <v>0</v>
      </c>
      <c r="D36" s="1">
        <f>1/(1+EXP(-B36*$I$138-$I$139))</f>
        <v>0.39888814326996258</v>
      </c>
      <c r="E36" s="1">
        <f>IF(D36&gt;=$I$140,1,0)</f>
        <v>0</v>
      </c>
      <c r="F36" s="1">
        <f t="shared" si="0"/>
        <v>1</v>
      </c>
      <c r="G36" s="1">
        <f t="shared" si="1"/>
        <v>0</v>
      </c>
    </row>
    <row r="37" spans="1:7">
      <c r="A37" s="2">
        <v>59</v>
      </c>
      <c r="B37" s="2">
        <v>174</v>
      </c>
      <c r="C37" s="2">
        <v>1</v>
      </c>
      <c r="D37" s="1">
        <f>1/(1+EXP(-B37*$I$138-$I$139))</f>
        <v>0.42585085933475525</v>
      </c>
      <c r="E37" s="1">
        <f>IF(D37&gt;=$I$140,1,0)</f>
        <v>0</v>
      </c>
      <c r="F37" s="1">
        <f t="shared" si="0"/>
        <v>0</v>
      </c>
      <c r="G37" s="1">
        <f t="shared" si="1"/>
        <v>0</v>
      </c>
    </row>
    <row r="38" spans="1:7">
      <c r="A38" s="2">
        <v>86</v>
      </c>
      <c r="B38" s="2">
        <v>174</v>
      </c>
      <c r="C38" s="2">
        <v>0</v>
      </c>
      <c r="D38" s="1">
        <f>1/(1+EXP(-B38*$I$138-$I$139))</f>
        <v>0.42585085933475525</v>
      </c>
      <c r="E38" s="1">
        <f>IF(D38&gt;=$I$140,1,0)</f>
        <v>0</v>
      </c>
      <c r="F38" s="1">
        <f t="shared" si="0"/>
        <v>1</v>
      </c>
      <c r="G38" s="1">
        <f t="shared" si="1"/>
        <v>0</v>
      </c>
    </row>
    <row r="39" spans="1:7">
      <c r="A39" s="2">
        <v>41</v>
      </c>
      <c r="B39" s="2">
        <v>175</v>
      </c>
      <c r="C39" s="2">
        <v>1</v>
      </c>
      <c r="D39" s="1">
        <f>1/(1+EXP(-B39*$I$138-$I$139))</f>
        <v>0.45326184801538616</v>
      </c>
      <c r="E39" s="1">
        <f>IF(D39&gt;=$I$140,1,0)</f>
        <v>0</v>
      </c>
      <c r="F39" s="1">
        <f t="shared" si="0"/>
        <v>0</v>
      </c>
      <c r="G39" s="1">
        <f t="shared" si="1"/>
        <v>0</v>
      </c>
    </row>
    <row r="40" spans="1:7">
      <c r="A40" s="2">
        <v>74</v>
      </c>
      <c r="B40" s="2">
        <v>175</v>
      </c>
      <c r="C40" s="2">
        <v>0</v>
      </c>
      <c r="D40" s="1">
        <f>1/(1+EXP(-B40*$I$138-$I$139))</f>
        <v>0.45326184801538616</v>
      </c>
      <c r="E40" s="1">
        <f>IF(D40&gt;=$I$140,1,0)</f>
        <v>0</v>
      </c>
      <c r="F40" s="1">
        <f t="shared" si="0"/>
        <v>1</v>
      </c>
      <c r="G40" s="1">
        <f t="shared" si="1"/>
        <v>0</v>
      </c>
    </row>
    <row r="41" spans="1:7">
      <c r="A41" s="3">
        <v>23</v>
      </c>
      <c r="B41" s="3">
        <v>176</v>
      </c>
      <c r="C41" s="3">
        <v>1</v>
      </c>
      <c r="D41" s="1">
        <f>1/(1+EXP(-B41*$I$138-$I$139))</f>
        <v>0.48095921237442701</v>
      </c>
      <c r="E41" s="1">
        <f>IF(D41&gt;=$I$140,1,0)</f>
        <v>0</v>
      </c>
      <c r="F41" s="1">
        <f t="shared" si="0"/>
        <v>0</v>
      </c>
      <c r="G41" s="1">
        <f t="shared" si="1"/>
        <v>0</v>
      </c>
    </row>
    <row r="42" spans="1:7">
      <c r="A42" s="3">
        <v>96</v>
      </c>
      <c r="B42" s="3">
        <v>176</v>
      </c>
      <c r="C42" s="3">
        <v>1</v>
      </c>
      <c r="D42" s="1">
        <f>1/(1+EXP(-B42*$I$138-$I$139))</f>
        <v>0.48095921237442701</v>
      </c>
      <c r="E42" s="1">
        <f>IF(D42&gt;=$I$140,1,0)</f>
        <v>0</v>
      </c>
      <c r="F42" s="1">
        <f t="shared" si="0"/>
        <v>0</v>
      </c>
      <c r="G42" s="1">
        <f t="shared" si="1"/>
        <v>0</v>
      </c>
    </row>
    <row r="43" spans="1:7">
      <c r="A43" s="3">
        <v>30</v>
      </c>
      <c r="B43" s="3">
        <v>177</v>
      </c>
      <c r="C43" s="3">
        <v>0</v>
      </c>
      <c r="D43" s="1">
        <f>1/(1+EXP(-B43*$I$138-$I$139))</f>
        <v>0.50877409920366634</v>
      </c>
      <c r="E43" s="1">
        <f>IF(D43&gt;=$I$140,1,0)</f>
        <v>1</v>
      </c>
      <c r="F43" s="1">
        <f t="shared" si="0"/>
        <v>0</v>
      </c>
      <c r="G43" s="1">
        <f t="shared" si="1"/>
        <v>1</v>
      </c>
    </row>
    <row r="44" spans="1:7">
      <c r="A44" s="3">
        <v>38</v>
      </c>
      <c r="B44" s="3">
        <v>177</v>
      </c>
      <c r="C44" s="3">
        <v>0</v>
      </c>
      <c r="D44" s="1">
        <f>1/(1+EXP(-B44*$I$138-$I$139))</f>
        <v>0.50877409920366634</v>
      </c>
      <c r="E44" s="1">
        <f>IF(D44&gt;=$I$140,1,0)</f>
        <v>1</v>
      </c>
      <c r="F44" s="1">
        <f t="shared" si="0"/>
        <v>0</v>
      </c>
      <c r="G44" s="1">
        <f t="shared" si="1"/>
        <v>1</v>
      </c>
    </row>
    <row r="45" spans="1:7">
      <c r="A45" s="3">
        <v>31</v>
      </c>
      <c r="B45" s="3">
        <v>178</v>
      </c>
      <c r="C45" s="3">
        <v>1</v>
      </c>
      <c r="D45" s="1">
        <f>1/(1+EXP(-B45*$I$138-$I$139))</f>
        <v>0.5365347692771808</v>
      </c>
      <c r="E45" s="1">
        <f>IF(D45&gt;=$I$140,1,0)</f>
        <v>1</v>
      </c>
      <c r="F45" s="1">
        <f t="shared" si="0"/>
        <v>1</v>
      </c>
      <c r="G45" s="1">
        <f t="shared" si="1"/>
        <v>1</v>
      </c>
    </row>
    <row r="46" spans="1:7">
      <c r="A46" s="3">
        <v>85</v>
      </c>
      <c r="B46" s="3">
        <v>179</v>
      </c>
      <c r="C46" s="3">
        <v>1</v>
      </c>
      <c r="D46" s="1">
        <f>1/(1+EXP(-B46*$I$138-$I$139))</f>
        <v>0.56407081704236994</v>
      </c>
      <c r="E46" s="1">
        <f>IF(D46&gt;=$I$140,1,0)</f>
        <v>1</v>
      </c>
      <c r="F46" s="1">
        <f t="shared" si="0"/>
        <v>1</v>
      </c>
      <c r="G46" s="1">
        <f t="shared" si="1"/>
        <v>1</v>
      </c>
    </row>
    <row r="47" spans="1:7">
      <c r="A47" s="3">
        <v>20</v>
      </c>
      <c r="B47" s="3">
        <v>180</v>
      </c>
      <c r="C47" s="3">
        <v>0</v>
      </c>
      <c r="D47" s="1">
        <f>1/(1+EXP(-B47*$I$138-$I$139))</f>
        <v>0.59121732109592096</v>
      </c>
      <c r="E47" s="1">
        <f>IF(D47&gt;=$I$140,1,0)</f>
        <v>1</v>
      </c>
      <c r="F47" s="1">
        <f t="shared" si="0"/>
        <v>0</v>
      </c>
      <c r="G47" s="1">
        <f t="shared" si="1"/>
        <v>1</v>
      </c>
    </row>
    <row r="48" spans="1:7">
      <c r="A48" s="3">
        <v>63</v>
      </c>
      <c r="B48" s="3">
        <v>180</v>
      </c>
      <c r="C48" s="3">
        <v>1</v>
      </c>
      <c r="D48" s="1">
        <f>1/(1+EXP(-B48*$I$138-$I$139))</f>
        <v>0.59121732109592096</v>
      </c>
      <c r="E48" s="1">
        <f>IF(D48&gt;=$I$140,1,0)</f>
        <v>1</v>
      </c>
      <c r="F48" s="1">
        <f t="shared" si="0"/>
        <v>1</v>
      </c>
      <c r="G48" s="1">
        <f t="shared" si="1"/>
        <v>1</v>
      </c>
    </row>
    <row r="49" spans="1:7">
      <c r="A49" s="3">
        <v>4</v>
      </c>
      <c r="B49" s="3">
        <v>181</v>
      </c>
      <c r="C49" s="3">
        <v>1</v>
      </c>
      <c r="D49" s="1">
        <f>1/(1+EXP(-B49*$I$138-$I$139))</f>
        <v>0.6178187128978021</v>
      </c>
      <c r="E49" s="1">
        <f>IF(D49&gt;=$I$140,1,0)</f>
        <v>1</v>
      </c>
      <c r="F49" s="1">
        <f t="shared" si="0"/>
        <v>1</v>
      </c>
      <c r="G49" s="1">
        <f t="shared" si="1"/>
        <v>1</v>
      </c>
    </row>
    <row r="50" spans="1:7">
      <c r="A50" s="3">
        <v>11</v>
      </c>
      <c r="B50" s="3">
        <v>181</v>
      </c>
      <c r="C50" s="3">
        <v>0</v>
      </c>
      <c r="D50" s="1">
        <f>1/(1+EXP(-B50*$I$138-$I$139))</f>
        <v>0.6178187128978021</v>
      </c>
      <c r="E50" s="1">
        <f>IF(D50&gt;=$I$140,1,0)</f>
        <v>1</v>
      </c>
      <c r="F50" s="1">
        <f t="shared" si="0"/>
        <v>0</v>
      </c>
      <c r="G50" s="1">
        <f t="shared" si="1"/>
        <v>1</v>
      </c>
    </row>
    <row r="51" spans="1:7">
      <c r="A51" s="3">
        <v>95</v>
      </c>
      <c r="B51" s="3">
        <v>181</v>
      </c>
      <c r="C51" s="3">
        <v>1</v>
      </c>
      <c r="D51" s="1">
        <f>1/(1+EXP(-B51*$I$138-$I$139))</f>
        <v>0.6178187128978021</v>
      </c>
      <c r="E51" s="1">
        <f>IF(D51&gt;=$I$140,1,0)</f>
        <v>1</v>
      </c>
      <c r="F51" s="1">
        <f t="shared" si="0"/>
        <v>1</v>
      </c>
      <c r="G51" s="1">
        <f t="shared" si="1"/>
        <v>1</v>
      </c>
    </row>
    <row r="52" spans="1:7">
      <c r="A52" s="3">
        <v>22</v>
      </c>
      <c r="B52" s="3">
        <v>182</v>
      </c>
      <c r="C52" s="3">
        <v>1</v>
      </c>
      <c r="D52" s="1">
        <f>1/(1+EXP(-B52*$I$138-$I$139))</f>
        <v>0.64373217572120078</v>
      </c>
      <c r="E52" s="1">
        <f>IF(D52&gt;=$I$140,1,0)</f>
        <v>1</v>
      </c>
      <c r="F52" s="1">
        <f t="shared" si="0"/>
        <v>1</v>
      </c>
      <c r="G52" s="1">
        <f t="shared" si="1"/>
        <v>1</v>
      </c>
    </row>
    <row r="53" spans="1:7">
      <c r="A53" s="3">
        <v>29</v>
      </c>
      <c r="B53" s="3">
        <v>182</v>
      </c>
      <c r="C53" s="3">
        <v>1</v>
      </c>
      <c r="D53" s="1">
        <f>1/(1+EXP(-B53*$I$138-$I$139))</f>
        <v>0.64373217572120078</v>
      </c>
      <c r="E53" s="1">
        <f>IF(D53&gt;=$I$140,1,0)</f>
        <v>1</v>
      </c>
      <c r="F53" s="1">
        <f t="shared" si="0"/>
        <v>1</v>
      </c>
      <c r="G53" s="1">
        <f t="shared" si="1"/>
        <v>1</v>
      </c>
    </row>
    <row r="54" spans="1:7">
      <c r="A54" s="2">
        <v>39</v>
      </c>
      <c r="B54" s="2">
        <v>183</v>
      </c>
      <c r="C54" s="2">
        <v>0</v>
      </c>
      <c r="D54" s="1">
        <f>1/(1+EXP(-B54*$I$138-$I$139))</f>
        <v>0.66883042559962136</v>
      </c>
      <c r="E54" s="1">
        <f>IF(D54&gt;=$I$140,1,0)</f>
        <v>1</v>
      </c>
      <c r="F54" s="1">
        <f t="shared" si="0"/>
        <v>0</v>
      </c>
      <c r="G54" s="1">
        <f t="shared" si="1"/>
        <v>1</v>
      </c>
    </row>
    <row r="55" spans="1:7">
      <c r="A55" s="2">
        <v>71</v>
      </c>
      <c r="B55" s="2">
        <v>183</v>
      </c>
      <c r="C55" s="2">
        <v>1</v>
      </c>
      <c r="D55" s="1">
        <f>1/(1+EXP(-B55*$I$138-$I$139))</f>
        <v>0.66883042559962136</v>
      </c>
      <c r="E55" s="1">
        <f>IF(D55&gt;=$I$140,1,0)</f>
        <v>1</v>
      </c>
      <c r="F55" s="1">
        <f t="shared" si="0"/>
        <v>1</v>
      </c>
      <c r="G55" s="1">
        <f t="shared" si="1"/>
        <v>1</v>
      </c>
    </row>
    <row r="56" spans="1:7">
      <c r="A56" s="2">
        <v>60</v>
      </c>
      <c r="B56" s="2">
        <v>184</v>
      </c>
      <c r="C56" s="2">
        <v>1</v>
      </c>
      <c r="D56" s="1">
        <f>1/(1+EXP(-B56*$I$138-$I$139))</f>
        <v>0.69300377597633822</v>
      </c>
      <c r="E56" s="1">
        <f>IF(D56&gt;=$I$140,1,0)</f>
        <v>1</v>
      </c>
      <c r="F56" s="1">
        <f t="shared" si="0"/>
        <v>1</v>
      </c>
      <c r="G56" s="1">
        <f t="shared" si="1"/>
        <v>1</v>
      </c>
    </row>
    <row r="57" spans="1:7">
      <c r="A57" s="2">
        <v>88</v>
      </c>
      <c r="B57" s="2">
        <v>184</v>
      </c>
      <c r="C57" s="2">
        <v>1</v>
      </c>
      <c r="D57" s="1">
        <f>1/(1+EXP(-B57*$I$138-$I$139))</f>
        <v>0.69300377597633822</v>
      </c>
      <c r="E57" s="1">
        <f>IF(D57&gt;=$I$140,1,0)</f>
        <v>1</v>
      </c>
      <c r="F57" s="1">
        <f t="shared" si="0"/>
        <v>1</v>
      </c>
      <c r="G57" s="1">
        <f t="shared" si="1"/>
        <v>1</v>
      </c>
    </row>
    <row r="58" spans="1:7">
      <c r="A58" s="2">
        <v>50</v>
      </c>
      <c r="B58" s="2">
        <v>185</v>
      </c>
      <c r="C58" s="2">
        <v>1</v>
      </c>
      <c r="D58" s="1">
        <f>1/(1+EXP(-B58*$I$138-$I$139))</f>
        <v>0.71616144191530651</v>
      </c>
      <c r="E58" s="1">
        <f>IF(D58&gt;=$I$140,1,0)</f>
        <v>1</v>
      </c>
      <c r="F58" s="1">
        <f t="shared" si="0"/>
        <v>1</v>
      </c>
      <c r="G58" s="1">
        <f t="shared" si="1"/>
        <v>1</v>
      </c>
    </row>
    <row r="59" spans="1:7">
      <c r="A59" s="2">
        <v>64</v>
      </c>
      <c r="B59" s="2">
        <v>185</v>
      </c>
      <c r="C59" s="2">
        <v>1</v>
      </c>
      <c r="D59" s="1">
        <f>1/(1+EXP(-B59*$I$138-$I$139))</f>
        <v>0.71616144191530651</v>
      </c>
      <c r="E59" s="1">
        <f>IF(D59&gt;=$I$140,1,0)</f>
        <v>1</v>
      </c>
      <c r="F59" s="1">
        <f t="shared" si="0"/>
        <v>1</v>
      </c>
      <c r="G59" s="1">
        <f t="shared" si="1"/>
        <v>1</v>
      </c>
    </row>
    <row r="60" spans="1:7">
      <c r="A60" s="2">
        <v>83</v>
      </c>
      <c r="B60" s="2">
        <v>185</v>
      </c>
      <c r="C60" s="2">
        <v>1</v>
      </c>
      <c r="D60" s="1">
        <f>1/(1+EXP(-B60*$I$138-$I$139))</f>
        <v>0.71616144191530651</v>
      </c>
      <c r="E60" s="1">
        <f>IF(D60&gt;=$I$140,1,0)</f>
        <v>1</v>
      </c>
      <c r="F60" s="1">
        <f t="shared" si="0"/>
        <v>1</v>
      </c>
      <c r="G60" s="1">
        <f t="shared" si="1"/>
        <v>1</v>
      </c>
    </row>
    <row r="61" spans="1:7">
      <c r="A61" s="2">
        <v>90</v>
      </c>
      <c r="B61" s="2">
        <v>185</v>
      </c>
      <c r="C61" s="2">
        <v>1</v>
      </c>
      <c r="D61" s="1">
        <f>1/(1+EXP(-B61*$I$138-$I$139))</f>
        <v>0.71616144191530651</v>
      </c>
      <c r="E61" s="1">
        <f>IF(D61&gt;=$I$140,1,0)</f>
        <v>1</v>
      </c>
      <c r="F61" s="1">
        <f t="shared" si="0"/>
        <v>1</v>
      </c>
      <c r="G61" s="1">
        <f t="shared" si="1"/>
        <v>1</v>
      </c>
    </row>
    <row r="62" spans="1:7">
      <c r="A62" s="2">
        <v>13</v>
      </c>
      <c r="B62" s="2">
        <v>186</v>
      </c>
      <c r="C62" s="2">
        <v>0</v>
      </c>
      <c r="D62" s="1">
        <f>1/(1+EXP(-B62*$I$138-$I$139))</f>
        <v>0.7382320921688601</v>
      </c>
      <c r="E62" s="1">
        <f>IF(D62&gt;=$I$140,1,0)</f>
        <v>1</v>
      </c>
      <c r="F62" s="1">
        <f t="shared" si="0"/>
        <v>0</v>
      </c>
      <c r="G62" s="1">
        <f t="shared" si="1"/>
        <v>1</v>
      </c>
    </row>
    <row r="63" spans="1:7">
      <c r="A63" s="2">
        <v>55</v>
      </c>
      <c r="B63" s="2">
        <v>188</v>
      </c>
      <c r="C63" s="2">
        <v>1</v>
      </c>
      <c r="D63" s="1">
        <f>1/(1+EXP(-B63*$I$138-$I$139))</f>
        <v>0.77892280382950541</v>
      </c>
      <c r="E63" s="1">
        <f>IF(D63&gt;=$I$140,1,0)</f>
        <v>1</v>
      </c>
      <c r="F63" s="1">
        <f t="shared" si="0"/>
        <v>1</v>
      </c>
      <c r="G63" s="1">
        <f t="shared" si="1"/>
        <v>1</v>
      </c>
    </row>
    <row r="64" spans="1:7">
      <c r="A64" s="2">
        <v>45</v>
      </c>
      <c r="B64" s="2">
        <v>189</v>
      </c>
      <c r="C64" s="2">
        <v>1</v>
      </c>
      <c r="D64" s="1">
        <f>1/(1+EXP(-B64*$I$138-$I$139))</f>
        <v>0.79749322555748103</v>
      </c>
      <c r="E64" s="1">
        <f>IF(D64&gt;=$I$140,1,0)</f>
        <v>1</v>
      </c>
      <c r="F64" s="1">
        <f t="shared" si="0"/>
        <v>1</v>
      </c>
      <c r="G64" s="1">
        <f t="shared" si="1"/>
        <v>1</v>
      </c>
    </row>
    <row r="65" spans="1:7">
      <c r="A65" s="2">
        <v>82</v>
      </c>
      <c r="B65" s="2">
        <v>189</v>
      </c>
      <c r="C65" s="2">
        <v>1</v>
      </c>
      <c r="D65" s="1">
        <f>1/(1+EXP(-B65*$I$138-$I$139))</f>
        <v>0.79749322555748103</v>
      </c>
      <c r="E65" s="1">
        <f>IF(D65&gt;=$I$140,1,0)</f>
        <v>1</v>
      </c>
      <c r="F65" s="1">
        <f t="shared" si="0"/>
        <v>1</v>
      </c>
      <c r="G65" s="1">
        <f t="shared" si="1"/>
        <v>1</v>
      </c>
    </row>
    <row r="66" spans="1:7">
      <c r="A66" s="2">
        <v>87</v>
      </c>
      <c r="B66" s="2">
        <v>189</v>
      </c>
      <c r="C66" s="2">
        <v>1</v>
      </c>
      <c r="D66" s="1">
        <f>1/(1+EXP(-B66*$I$138-$I$139))</f>
        <v>0.79749322555748103</v>
      </c>
      <c r="E66" s="1">
        <f>IF(D66&gt;=$I$140,1,0)</f>
        <v>1</v>
      </c>
      <c r="F66" s="1">
        <f t="shared" si="0"/>
        <v>1</v>
      </c>
      <c r="G66" s="1">
        <f t="shared" si="1"/>
        <v>1</v>
      </c>
    </row>
    <row r="67" spans="1:7">
      <c r="A67" s="3">
        <v>54</v>
      </c>
      <c r="B67" s="3">
        <v>190</v>
      </c>
      <c r="C67" s="3">
        <v>1</v>
      </c>
      <c r="D67" s="1">
        <f>1/(1+EXP(-B67*$I$138-$I$139))</f>
        <v>0.81487447885156272</v>
      </c>
      <c r="E67" s="1">
        <f>IF(D67&gt;=$I$140,1,0)</f>
        <v>1</v>
      </c>
      <c r="F67" s="1">
        <f t="shared" ref="F67:F101" si="5">IF(C67=E67,1,0)</f>
        <v>1</v>
      </c>
      <c r="G67" s="1">
        <f t="shared" ref="G67:G101" si="6">IF(B67*$J$138+$J$139&gt;=$I$140,1,0)</f>
        <v>1</v>
      </c>
    </row>
    <row r="68" spans="1:7">
      <c r="A68" s="3">
        <v>67</v>
      </c>
      <c r="B68" s="3">
        <v>190</v>
      </c>
      <c r="C68" s="3">
        <v>0</v>
      </c>
      <c r="D68" s="1">
        <f>1/(1+EXP(-B68*$I$138-$I$139))</f>
        <v>0.81487447885156272</v>
      </c>
      <c r="E68" s="1">
        <f>IF(D68&gt;=$I$140,1,0)</f>
        <v>1</v>
      </c>
      <c r="F68" s="1">
        <f t="shared" si="5"/>
        <v>0</v>
      </c>
      <c r="G68" s="1">
        <f t="shared" si="6"/>
        <v>1</v>
      </c>
    </row>
    <row r="69" spans="1:7">
      <c r="A69" s="3">
        <v>32</v>
      </c>
      <c r="B69" s="3">
        <v>192</v>
      </c>
      <c r="C69" s="3">
        <v>1</v>
      </c>
      <c r="D69" s="1">
        <f>1/(1+EXP(-B69*$I$138-$I$139))</f>
        <v>0.84613456688601563</v>
      </c>
      <c r="E69" s="1">
        <f>IF(D69&gt;=$I$140,1,0)</f>
        <v>1</v>
      </c>
      <c r="F69" s="1">
        <f t="shared" si="5"/>
        <v>1</v>
      </c>
      <c r="G69" s="1">
        <f t="shared" si="6"/>
        <v>1</v>
      </c>
    </row>
    <row r="70" spans="1:7">
      <c r="A70" s="3">
        <v>26</v>
      </c>
      <c r="B70" s="3">
        <v>193</v>
      </c>
      <c r="C70" s="3">
        <v>1</v>
      </c>
      <c r="D70" s="1">
        <f>1/(1+EXP(-B70*$I$138-$I$139))</f>
        <v>0.86007343188795293</v>
      </c>
      <c r="E70" s="1">
        <f>IF(D70&gt;=$I$140,1,0)</f>
        <v>1</v>
      </c>
      <c r="F70" s="1">
        <f t="shared" si="5"/>
        <v>1</v>
      </c>
      <c r="G70" s="1">
        <f t="shared" si="6"/>
        <v>1</v>
      </c>
    </row>
    <row r="71" spans="1:7">
      <c r="A71" s="3">
        <v>52</v>
      </c>
      <c r="B71" s="3">
        <v>193</v>
      </c>
      <c r="C71" s="3">
        <v>1</v>
      </c>
      <c r="D71" s="1">
        <f>1/(1+EXP(-B71*$I$138-$I$139))</f>
        <v>0.86007343188795293</v>
      </c>
      <c r="E71" s="1">
        <f>IF(D71&gt;=$I$140,1,0)</f>
        <v>1</v>
      </c>
      <c r="F71" s="1">
        <f t="shared" si="5"/>
        <v>1</v>
      </c>
      <c r="G71" s="1">
        <f t="shared" si="6"/>
        <v>1</v>
      </c>
    </row>
    <row r="72" spans="1:7">
      <c r="A72" s="3">
        <v>5</v>
      </c>
      <c r="B72" s="3">
        <v>195</v>
      </c>
      <c r="C72" s="3">
        <v>1</v>
      </c>
      <c r="D72" s="1">
        <f>1/(1+EXP(-B72*$I$138-$I$139))</f>
        <v>0.88478044017152568</v>
      </c>
      <c r="E72" s="1">
        <f>IF(D72&gt;=$I$140,1,0)</f>
        <v>1</v>
      </c>
      <c r="F72" s="1">
        <f t="shared" si="5"/>
        <v>1</v>
      </c>
      <c r="G72" s="1">
        <f t="shared" si="6"/>
        <v>1</v>
      </c>
    </row>
    <row r="73" spans="1:7">
      <c r="A73" s="3">
        <v>16</v>
      </c>
      <c r="B73" s="3">
        <v>195</v>
      </c>
      <c r="C73" s="3">
        <v>1</v>
      </c>
      <c r="D73" s="1">
        <f>1/(1+EXP(-B73*$I$138-$I$139))</f>
        <v>0.88478044017152568</v>
      </c>
      <c r="E73" s="1">
        <f>IF(D73&gt;=$I$140,1,0)</f>
        <v>1</v>
      </c>
      <c r="F73" s="1">
        <f t="shared" si="5"/>
        <v>1</v>
      </c>
      <c r="G73" s="1">
        <f t="shared" si="6"/>
        <v>1</v>
      </c>
    </row>
    <row r="74" spans="1:7">
      <c r="A74" s="3">
        <v>79</v>
      </c>
      <c r="B74" s="3">
        <v>195</v>
      </c>
      <c r="C74" s="3">
        <v>1</v>
      </c>
      <c r="D74" s="1">
        <f>1/(1+EXP(-B74*$I$138-$I$139))</f>
        <v>0.88478044017152568</v>
      </c>
      <c r="E74" s="1">
        <f>IF(D74&gt;=$I$140,1,0)</f>
        <v>1</v>
      </c>
      <c r="F74" s="1">
        <f t="shared" si="5"/>
        <v>1</v>
      </c>
      <c r="G74" s="1">
        <f t="shared" si="6"/>
        <v>1</v>
      </c>
    </row>
    <row r="75" spans="1:7">
      <c r="A75" s="3">
        <v>99</v>
      </c>
      <c r="B75" s="3">
        <v>196</v>
      </c>
      <c r="C75" s="3">
        <v>1</v>
      </c>
      <c r="D75" s="1">
        <f>1/(1+EXP(-B75*$I$138-$I$139))</f>
        <v>0.89565008615819353</v>
      </c>
      <c r="E75" s="1">
        <f>IF(D75&gt;=$I$140,1,0)</f>
        <v>1</v>
      </c>
      <c r="F75" s="1">
        <f t="shared" si="5"/>
        <v>1</v>
      </c>
      <c r="G75" s="1">
        <f t="shared" si="6"/>
        <v>1</v>
      </c>
    </row>
    <row r="76" spans="1:7">
      <c r="A76" s="2">
        <v>42</v>
      </c>
      <c r="B76" s="2">
        <v>197</v>
      </c>
      <c r="C76" s="2">
        <v>1</v>
      </c>
      <c r="D76" s="1">
        <f>1/(1+EXP(-B76*$I$138-$I$139))</f>
        <v>0.90560370720972516</v>
      </c>
      <c r="E76" s="1">
        <f>IF(D76&gt;=$I$140,1,0)</f>
        <v>1</v>
      </c>
      <c r="F76" s="1">
        <f t="shared" si="5"/>
        <v>1</v>
      </c>
      <c r="G76" s="1">
        <f t="shared" si="6"/>
        <v>1</v>
      </c>
    </row>
    <row r="77" spans="1:7">
      <c r="A77" s="2">
        <v>7</v>
      </c>
      <c r="B77" s="2">
        <v>199</v>
      </c>
      <c r="C77" s="2">
        <v>1</v>
      </c>
      <c r="D77" s="1">
        <f>1/(1+EXP(-B77*$I$138-$I$139))</f>
        <v>0.92299120005034452</v>
      </c>
      <c r="E77" s="1">
        <f>IF(D77&gt;=$I$140,1,0)</f>
        <v>1</v>
      </c>
      <c r="F77" s="1">
        <f t="shared" si="5"/>
        <v>1</v>
      </c>
      <c r="G77" s="1">
        <f t="shared" si="6"/>
        <v>1</v>
      </c>
    </row>
    <row r="78" spans="1:7">
      <c r="A78" s="2">
        <v>8</v>
      </c>
      <c r="B78" s="2">
        <v>199</v>
      </c>
      <c r="C78" s="2">
        <v>1</v>
      </c>
      <c r="D78" s="1">
        <f>1/(1+EXP(-B78*$I$138-$I$139))</f>
        <v>0.92299120005034452</v>
      </c>
      <c r="E78" s="1">
        <f>IF(D78&gt;=$I$140,1,0)</f>
        <v>1</v>
      </c>
      <c r="F78" s="1">
        <f t="shared" si="5"/>
        <v>1</v>
      </c>
      <c r="G78" s="1">
        <f t="shared" si="6"/>
        <v>1</v>
      </c>
    </row>
    <row r="79" spans="1:7">
      <c r="A79" s="2">
        <v>17</v>
      </c>
      <c r="B79" s="2">
        <v>199</v>
      </c>
      <c r="C79" s="2">
        <v>1</v>
      </c>
      <c r="D79" s="1">
        <f>1/(1+EXP(-B79*$I$138-$I$139))</f>
        <v>0.92299120005034452</v>
      </c>
      <c r="E79" s="1">
        <f>IF(D79&gt;=$I$140,1,0)</f>
        <v>1</v>
      </c>
      <c r="F79" s="1">
        <f t="shared" si="5"/>
        <v>1</v>
      </c>
      <c r="G79" s="1">
        <f t="shared" si="6"/>
        <v>1</v>
      </c>
    </row>
    <row r="80" spans="1:7">
      <c r="A80" s="2">
        <v>40</v>
      </c>
      <c r="B80" s="2">
        <v>200</v>
      </c>
      <c r="C80" s="2">
        <v>1</v>
      </c>
      <c r="D80" s="1">
        <f>1/(1+EXP(-B80*$I$138-$I$139))</f>
        <v>0.9305390940994358</v>
      </c>
      <c r="E80" s="1">
        <f>IF(D80&gt;=$I$140,1,0)</f>
        <v>1</v>
      </c>
      <c r="F80" s="1">
        <f t="shared" si="5"/>
        <v>1</v>
      </c>
      <c r="G80" s="1">
        <f t="shared" si="6"/>
        <v>1</v>
      </c>
    </row>
    <row r="81" spans="1:7">
      <c r="A81" s="2">
        <v>18</v>
      </c>
      <c r="B81" s="2">
        <v>202</v>
      </c>
      <c r="C81" s="2">
        <v>1</v>
      </c>
      <c r="D81" s="1">
        <f>1/(1+EXP(-B81*$I$138-$I$139))</f>
        <v>0.94361951815155043</v>
      </c>
      <c r="E81" s="1">
        <f>IF(D81&gt;=$I$140,1,0)</f>
        <v>1</v>
      </c>
      <c r="F81" s="1">
        <f t="shared" si="5"/>
        <v>1</v>
      </c>
      <c r="G81" s="1">
        <f t="shared" si="6"/>
        <v>1</v>
      </c>
    </row>
    <row r="82" spans="1:7">
      <c r="A82" s="2">
        <v>27</v>
      </c>
      <c r="B82" s="2">
        <v>202</v>
      </c>
      <c r="C82" s="2">
        <v>1</v>
      </c>
      <c r="D82" s="1">
        <f>1/(1+EXP(-B82*$I$138-$I$139))</f>
        <v>0.94361951815155043</v>
      </c>
      <c r="E82" s="1">
        <f>IF(D82&gt;=$I$140,1,0)</f>
        <v>1</v>
      </c>
      <c r="F82" s="1">
        <f t="shared" si="5"/>
        <v>1</v>
      </c>
      <c r="G82" s="1">
        <f t="shared" si="6"/>
        <v>1</v>
      </c>
    </row>
    <row r="83" spans="1:7">
      <c r="A83" s="2">
        <v>93</v>
      </c>
      <c r="B83" s="2">
        <v>202</v>
      </c>
      <c r="C83" s="2">
        <v>1</v>
      </c>
      <c r="D83" s="1">
        <f>1/(1+EXP(-B83*$I$138-$I$139))</f>
        <v>0.94361951815155043</v>
      </c>
      <c r="E83" s="1">
        <f>IF(D83&gt;=$I$140,1,0)</f>
        <v>1</v>
      </c>
      <c r="F83" s="1">
        <f t="shared" si="5"/>
        <v>1</v>
      </c>
      <c r="G83" s="1">
        <f t="shared" si="6"/>
        <v>1</v>
      </c>
    </row>
    <row r="84" spans="1:7">
      <c r="A84" s="2">
        <v>98</v>
      </c>
      <c r="B84" s="2">
        <v>202</v>
      </c>
      <c r="C84" s="2">
        <v>1</v>
      </c>
      <c r="D84" s="1">
        <f>1/(1+EXP(-B84*$I$138-$I$139))</f>
        <v>0.94361951815155043</v>
      </c>
      <c r="E84" s="1">
        <f>IF(D84&gt;=$I$140,1,0)</f>
        <v>1</v>
      </c>
      <c r="F84" s="1">
        <f t="shared" si="5"/>
        <v>1</v>
      </c>
      <c r="G84" s="1">
        <f t="shared" si="6"/>
        <v>1</v>
      </c>
    </row>
    <row r="85" spans="1:7">
      <c r="A85" s="2">
        <v>61</v>
      </c>
      <c r="B85" s="2">
        <v>203</v>
      </c>
      <c r="C85" s="2">
        <v>0</v>
      </c>
      <c r="D85" s="1">
        <f>1/(1+EXP(-B85*$I$138-$I$139))</f>
        <v>0.94925671600208761</v>
      </c>
      <c r="E85" s="1">
        <f>IF(D85&gt;=$I$140,1,0)</f>
        <v>1</v>
      </c>
      <c r="F85" s="1">
        <f t="shared" si="5"/>
        <v>0</v>
      </c>
      <c r="G85" s="1">
        <f t="shared" si="6"/>
        <v>1</v>
      </c>
    </row>
    <row r="86" spans="1:7">
      <c r="A86" s="2">
        <v>80</v>
      </c>
      <c r="B86" s="2">
        <v>203</v>
      </c>
      <c r="C86" s="2">
        <v>1</v>
      </c>
      <c r="D86" s="1">
        <f>1/(1+EXP(-B86*$I$138-$I$139))</f>
        <v>0.94925671600208761</v>
      </c>
      <c r="E86" s="1">
        <f>IF(D86&gt;=$I$140,1,0)</f>
        <v>1</v>
      </c>
      <c r="F86" s="1">
        <f t="shared" si="5"/>
        <v>1</v>
      </c>
      <c r="G86" s="1">
        <f t="shared" si="6"/>
        <v>1</v>
      </c>
    </row>
    <row r="87" spans="1:7">
      <c r="A87" s="3">
        <v>48</v>
      </c>
      <c r="B87" s="3">
        <v>204</v>
      </c>
      <c r="C87" s="3">
        <v>0</v>
      </c>
      <c r="D87" s="1">
        <f>1/(1+EXP(-B87*$I$138-$I$139))</f>
        <v>0.9543575418520901</v>
      </c>
      <c r="E87" s="1">
        <f>IF(D87&gt;=$I$140,1,0)</f>
        <v>1</v>
      </c>
      <c r="F87" s="1">
        <f t="shared" si="5"/>
        <v>0</v>
      </c>
      <c r="G87" s="1">
        <f t="shared" si="6"/>
        <v>1</v>
      </c>
    </row>
    <row r="88" spans="1:7">
      <c r="A88" s="3">
        <v>65</v>
      </c>
      <c r="B88" s="3">
        <v>204</v>
      </c>
      <c r="C88" s="3">
        <v>1</v>
      </c>
      <c r="D88" s="1">
        <f>1/(1+EXP(-B88*$I$138-$I$139))</f>
        <v>0.9543575418520901</v>
      </c>
      <c r="E88" s="1">
        <f>IF(D88&gt;=$I$140,1,0)</f>
        <v>1</v>
      </c>
      <c r="F88" s="1">
        <f t="shared" si="5"/>
        <v>1</v>
      </c>
      <c r="G88" s="1">
        <f t="shared" si="6"/>
        <v>1</v>
      </c>
    </row>
    <row r="89" spans="1:7">
      <c r="A89" s="3">
        <v>10</v>
      </c>
      <c r="B89" s="3">
        <v>205</v>
      </c>
      <c r="C89" s="3">
        <v>1</v>
      </c>
      <c r="D89" s="1">
        <f>1/(1+EXP(-B89*$I$138-$I$139))</f>
        <v>0.95896778530890558</v>
      </c>
      <c r="E89" s="1">
        <f>IF(D89&gt;=$I$140,1,0)</f>
        <v>1</v>
      </c>
      <c r="F89" s="1">
        <f t="shared" si="5"/>
        <v>1</v>
      </c>
      <c r="G89" s="1">
        <f t="shared" si="6"/>
        <v>1</v>
      </c>
    </row>
    <row r="90" spans="1:7">
      <c r="A90" s="3">
        <v>19</v>
      </c>
      <c r="B90" s="3">
        <v>205</v>
      </c>
      <c r="C90" s="3">
        <v>1</v>
      </c>
      <c r="D90" s="1">
        <f>1/(1+EXP(-B90*$I$138-$I$139))</f>
        <v>0.95896778530890558</v>
      </c>
      <c r="E90" s="1">
        <f>IF(D90&gt;=$I$140,1,0)</f>
        <v>1</v>
      </c>
      <c r="F90" s="1">
        <f t="shared" si="5"/>
        <v>1</v>
      </c>
      <c r="G90" s="1">
        <f t="shared" si="6"/>
        <v>1</v>
      </c>
    </row>
    <row r="91" spans="1:7">
      <c r="A91" s="3">
        <v>21</v>
      </c>
      <c r="B91" s="3">
        <v>205</v>
      </c>
      <c r="C91" s="3">
        <v>1</v>
      </c>
      <c r="D91" s="1">
        <f>1/(1+EXP(-B91*$I$138-$I$139))</f>
        <v>0.95896778530890558</v>
      </c>
      <c r="E91" s="1">
        <f>IF(D91&gt;=$I$140,1,0)</f>
        <v>1</v>
      </c>
      <c r="F91" s="1">
        <f t="shared" si="5"/>
        <v>1</v>
      </c>
      <c r="G91" s="1">
        <f t="shared" si="6"/>
        <v>1</v>
      </c>
    </row>
    <row r="92" spans="1:7">
      <c r="A92" s="3">
        <v>46</v>
      </c>
      <c r="B92" s="3">
        <v>205</v>
      </c>
      <c r="C92" s="3">
        <v>1</v>
      </c>
      <c r="D92" s="1">
        <f>1/(1+EXP(-B92*$I$138-$I$139))</f>
        <v>0.95896778530890558</v>
      </c>
      <c r="E92" s="1">
        <f>IF(D92&gt;=$I$140,1,0)</f>
        <v>1</v>
      </c>
      <c r="F92" s="1">
        <f t="shared" si="5"/>
        <v>1</v>
      </c>
      <c r="G92" s="1">
        <f t="shared" si="6"/>
        <v>1</v>
      </c>
    </row>
    <row r="93" spans="1:7">
      <c r="A93" s="3">
        <v>89</v>
      </c>
      <c r="B93" s="3">
        <v>205</v>
      </c>
      <c r="C93" s="3">
        <v>1</v>
      </c>
      <c r="D93" s="1">
        <f>1/(1+EXP(-B93*$I$138-$I$139))</f>
        <v>0.95896778530890558</v>
      </c>
      <c r="E93" s="1">
        <f>IF(D93&gt;=$I$140,1,0)</f>
        <v>1</v>
      </c>
      <c r="F93" s="1">
        <f t="shared" si="5"/>
        <v>1</v>
      </c>
      <c r="G93" s="1">
        <f t="shared" si="6"/>
        <v>1</v>
      </c>
    </row>
    <row r="94" spans="1:7">
      <c r="A94" s="3">
        <v>100</v>
      </c>
      <c r="B94" s="3">
        <v>205</v>
      </c>
      <c r="C94" s="3">
        <v>1</v>
      </c>
      <c r="D94" s="1">
        <f>1/(1+EXP(-B94*$I$138-$I$139))</f>
        <v>0.95896778530890558</v>
      </c>
      <c r="E94" s="1">
        <f>IF(D94&gt;=$I$140,1,0)</f>
        <v>1</v>
      </c>
      <c r="F94" s="1">
        <f t="shared" si="5"/>
        <v>1</v>
      </c>
      <c r="G94" s="1">
        <f t="shared" si="6"/>
        <v>1</v>
      </c>
    </row>
    <row r="95" spans="1:7">
      <c r="A95" s="3">
        <v>51</v>
      </c>
      <c r="B95" s="3">
        <v>206</v>
      </c>
      <c r="C95" s="3">
        <v>1</v>
      </c>
      <c r="D95" s="1">
        <f>1/(1+EXP(-B95*$I$138-$I$139))</f>
        <v>0.96313034852614354</v>
      </c>
      <c r="E95" s="1">
        <f>IF(D95&gt;=$I$140,1,0)</f>
        <v>1</v>
      </c>
      <c r="F95" s="1">
        <f t="shared" si="5"/>
        <v>1</v>
      </c>
      <c r="G95" s="1">
        <f t="shared" si="6"/>
        <v>1</v>
      </c>
    </row>
    <row r="96" spans="1:7">
      <c r="A96" s="3">
        <v>15</v>
      </c>
      <c r="B96" s="3">
        <v>207</v>
      </c>
      <c r="C96" s="3">
        <v>1</v>
      </c>
      <c r="D96" s="1">
        <f>1/(1+EXP(-B96*$I$138-$I$139))</f>
        <v>0.9668852173422543</v>
      </c>
      <c r="E96" s="1">
        <f>IF(D96&gt;=$I$140,1,0)</f>
        <v>1</v>
      </c>
      <c r="F96" s="1">
        <f t="shared" si="5"/>
        <v>1</v>
      </c>
      <c r="G96" s="1">
        <f t="shared" si="6"/>
        <v>1</v>
      </c>
    </row>
    <row r="97" spans="1:7">
      <c r="A97" s="3">
        <v>24</v>
      </c>
      <c r="B97" s="3">
        <v>207</v>
      </c>
      <c r="C97" s="3">
        <v>1</v>
      </c>
      <c r="D97" s="1">
        <f>1/(1+EXP(-B97*$I$138-$I$139))</f>
        <v>0.9668852173422543</v>
      </c>
      <c r="E97" s="1">
        <f>IF(D97&gt;=$I$140,1,0)</f>
        <v>1</v>
      </c>
      <c r="F97" s="1">
        <f t="shared" si="5"/>
        <v>1</v>
      </c>
      <c r="G97" s="1">
        <f t="shared" si="6"/>
        <v>1</v>
      </c>
    </row>
    <row r="98" spans="1:7">
      <c r="A98" s="3">
        <v>37</v>
      </c>
      <c r="B98" s="3">
        <v>208</v>
      </c>
      <c r="C98" s="3">
        <v>1</v>
      </c>
      <c r="D98" s="1">
        <f>1/(1+EXP(-B98*$I$138-$I$139))</f>
        <v>0.97026948808455138</v>
      </c>
      <c r="E98" s="1">
        <f>IF(D98&gt;=$I$140,1,0)</f>
        <v>1</v>
      </c>
      <c r="F98" s="1">
        <f t="shared" si="5"/>
        <v>1</v>
      </c>
      <c r="G98" s="1">
        <f t="shared" si="6"/>
        <v>1</v>
      </c>
    </row>
    <row r="99" spans="1:7">
      <c r="A99" s="3">
        <v>1</v>
      </c>
      <c r="B99" s="3">
        <v>209</v>
      </c>
      <c r="C99" s="3">
        <v>1</v>
      </c>
      <c r="D99" s="1">
        <f>1/(1+EXP(-B99*$I$138-$I$139))</f>
        <v>0.97331743716334873</v>
      </c>
      <c r="E99" s="1">
        <f>IF(D99&gt;=$I$140,1,0)</f>
        <v>1</v>
      </c>
      <c r="F99" s="1">
        <f t="shared" si="5"/>
        <v>1</v>
      </c>
      <c r="G99" s="1">
        <f t="shared" si="6"/>
        <v>1</v>
      </c>
    </row>
    <row r="100" spans="1:7">
      <c r="A100" s="3">
        <v>35</v>
      </c>
      <c r="B100" s="3">
        <v>210</v>
      </c>
      <c r="C100" s="3">
        <v>1</v>
      </c>
      <c r="D100" s="1">
        <f>1/(1+EXP(-B100*$I$138-$I$139))</f>
        <v>0.97606062249028258</v>
      </c>
      <c r="E100" s="1">
        <f>IF(D100&gt;=$I$140,1,0)</f>
        <v>1</v>
      </c>
      <c r="F100" s="1">
        <f t="shared" si="5"/>
        <v>1</v>
      </c>
      <c r="G100" s="1">
        <f t="shared" si="6"/>
        <v>1</v>
      </c>
    </row>
    <row r="101" spans="1:7">
      <c r="A101" s="3">
        <v>66</v>
      </c>
      <c r="B101" s="3">
        <v>210</v>
      </c>
      <c r="C101" s="3">
        <v>1</v>
      </c>
      <c r="D101" s="1">
        <f>1/(1+EXP(-B101*$I$138-$I$139))</f>
        <v>0.97606062249028258</v>
      </c>
      <c r="E101" s="1">
        <f>IF(D101&gt;=$I$140,1,0)</f>
        <v>1</v>
      </c>
      <c r="F101" s="1">
        <f t="shared" si="5"/>
        <v>1</v>
      </c>
      <c r="G101" s="1">
        <f t="shared" si="6"/>
        <v>1</v>
      </c>
    </row>
    <row r="102" spans="1:7" s="6" customFormat="1">
      <c r="A102" s="7" t="s">
        <v>32</v>
      </c>
      <c r="B102" s="7">
        <f>AVERAGE(B2:B101)</f>
        <v>181.71</v>
      </c>
      <c r="C102" s="7">
        <f t="shared" ref="C102:G102" si="7">AVERAGE(C2:C101)</f>
        <v>0.59</v>
      </c>
      <c r="D102" s="7">
        <f t="shared" si="7"/>
        <v>0.57631517449240355</v>
      </c>
      <c r="E102" s="7">
        <f t="shared" si="7"/>
        <v>0.59</v>
      </c>
      <c r="F102" s="7">
        <f t="shared" si="7"/>
        <v>0.82</v>
      </c>
      <c r="G102" s="7">
        <f t="shared" si="7"/>
        <v>0.59</v>
      </c>
    </row>
    <row r="103" spans="1:7" s="6" customFormat="1">
      <c r="A103" s="5"/>
      <c r="B103" s="5"/>
      <c r="C103" s="5"/>
      <c r="D103" s="5"/>
      <c r="E103" s="5"/>
      <c r="F103" s="5"/>
    </row>
    <row r="114" spans="7:8">
      <c r="G114" t="s">
        <v>7</v>
      </c>
      <c r="H114">
        <f>1+3.322*LOG10(A101)</f>
        <v>7.0445249538700878</v>
      </c>
    </row>
    <row r="115" spans="7:8">
      <c r="G115" t="s">
        <v>8</v>
      </c>
      <c r="H115">
        <v>8</v>
      </c>
    </row>
    <row r="116" spans="7:8">
      <c r="G116" t="s">
        <v>9</v>
      </c>
      <c r="H116">
        <f>B101-B2</f>
        <v>56</v>
      </c>
    </row>
    <row r="117" spans="7:8">
      <c r="G117" t="s">
        <v>10</v>
      </c>
      <c r="H117">
        <f>H116/H115</f>
        <v>7</v>
      </c>
    </row>
    <row r="137" spans="8:10">
      <c r="I137" t="s">
        <v>34</v>
      </c>
      <c r="J137" t="s">
        <v>35</v>
      </c>
    </row>
    <row r="138" spans="8:10">
      <c r="H138" t="s">
        <v>26</v>
      </c>
      <c r="I138">
        <v>0.1113</v>
      </c>
      <c r="J138">
        <f>0.0196</f>
        <v>1.9599999999999999E-2</v>
      </c>
    </row>
    <row r="139" spans="8:10">
      <c r="H139" t="s">
        <v>27</v>
      </c>
      <c r="I139">
        <v>-19.664999999999999</v>
      </c>
      <c r="J139">
        <v>-2.9685000000000001</v>
      </c>
    </row>
    <row r="140" spans="8:10">
      <c r="H140" t="s">
        <v>30</v>
      </c>
      <c r="I140">
        <v>0.5</v>
      </c>
    </row>
  </sheetData>
  <sortState ref="A2:C101">
    <sortCondition ref="B2:B101"/>
  </sortState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L24" sqref="L24"/>
    </sheetView>
  </sheetViews>
  <sheetFormatPr defaultRowHeight="14.4"/>
  <cols>
    <col min="1" max="1" width="4.88671875" customWidth="1"/>
    <col min="2" max="2" width="6" customWidth="1"/>
    <col min="3" max="3" width="7.6640625" customWidth="1"/>
  </cols>
  <sheetData>
    <row r="1" spans="1:7">
      <c r="A1" s="1" t="s">
        <v>1</v>
      </c>
      <c r="B1" s="1" t="s">
        <v>36</v>
      </c>
      <c r="C1" s="4" t="s">
        <v>29</v>
      </c>
    </row>
    <row r="2" spans="1:7">
      <c r="A2" s="1">
        <v>1</v>
      </c>
      <c r="B2" s="2">
        <v>0</v>
      </c>
      <c r="C2" s="1">
        <v>0</v>
      </c>
      <c r="F2" t="s">
        <v>37</v>
      </c>
      <c r="G2">
        <v>50</v>
      </c>
    </row>
    <row r="3" spans="1:7">
      <c r="A3" s="1">
        <v>2</v>
      </c>
      <c r="B3" s="2">
        <v>0</v>
      </c>
      <c r="C3" s="1">
        <v>0</v>
      </c>
      <c r="F3" t="s">
        <v>38</v>
      </c>
      <c r="G3">
        <v>32</v>
      </c>
    </row>
    <row r="4" spans="1:7">
      <c r="A4" s="1">
        <v>3</v>
      </c>
      <c r="B4" s="2">
        <v>0</v>
      </c>
      <c r="C4" s="1">
        <v>0</v>
      </c>
      <c r="F4" t="s">
        <v>39</v>
      </c>
      <c r="G4">
        <v>9</v>
      </c>
    </row>
    <row r="5" spans="1:7">
      <c r="A5" s="1">
        <v>4</v>
      </c>
      <c r="B5" s="2">
        <v>0</v>
      </c>
      <c r="C5" s="1">
        <v>0</v>
      </c>
      <c r="F5" t="s">
        <v>40</v>
      </c>
      <c r="G5">
        <v>9</v>
      </c>
    </row>
    <row r="6" spans="1:7">
      <c r="A6" s="1">
        <v>5</v>
      </c>
      <c r="B6" s="2">
        <v>0</v>
      </c>
      <c r="C6" s="1">
        <v>0</v>
      </c>
    </row>
    <row r="7" spans="1:7">
      <c r="A7" s="1">
        <v>6</v>
      </c>
      <c r="B7" s="2">
        <v>0</v>
      </c>
      <c r="C7" s="1">
        <v>0</v>
      </c>
    </row>
    <row r="8" spans="1:7">
      <c r="A8" s="1">
        <v>7</v>
      </c>
      <c r="B8" s="2">
        <v>0</v>
      </c>
      <c r="C8" s="1">
        <v>0</v>
      </c>
      <c r="F8" s="1" t="s">
        <v>42</v>
      </c>
      <c r="G8" s="1">
        <f>(G2+G3)/(G2+G3+G4+G5)</f>
        <v>0.82</v>
      </c>
    </row>
    <row r="9" spans="1:7">
      <c r="A9" s="1">
        <v>8</v>
      </c>
      <c r="B9" s="2">
        <v>0</v>
      </c>
      <c r="C9" s="1">
        <v>0</v>
      </c>
      <c r="F9" s="1" t="s">
        <v>43</v>
      </c>
      <c r="G9" s="1">
        <f>G2/(G2+G4)</f>
        <v>0.84745762711864403</v>
      </c>
    </row>
    <row r="10" spans="1:7">
      <c r="A10" s="1">
        <v>9</v>
      </c>
      <c r="B10" s="2">
        <v>0</v>
      </c>
      <c r="C10" s="1">
        <v>0</v>
      </c>
      <c r="F10" s="1" t="s">
        <v>44</v>
      </c>
      <c r="G10" s="1">
        <f>G2/(G2+G5)</f>
        <v>0.84745762711864403</v>
      </c>
    </row>
    <row r="11" spans="1:7">
      <c r="A11" s="1">
        <v>10</v>
      </c>
      <c r="B11" s="2">
        <v>0</v>
      </c>
      <c r="C11" s="1">
        <v>0</v>
      </c>
      <c r="F11" s="1" t="s">
        <v>45</v>
      </c>
      <c r="G11" s="1">
        <f>2*G9*G10/(G9+G10)</f>
        <v>0.84745762711864403</v>
      </c>
    </row>
    <row r="12" spans="1:7">
      <c r="A12" s="1">
        <v>11</v>
      </c>
      <c r="B12" s="2">
        <v>0</v>
      </c>
      <c r="C12" s="1">
        <v>0</v>
      </c>
    </row>
    <row r="13" spans="1:7">
      <c r="A13" s="1">
        <v>12</v>
      </c>
      <c r="B13" s="2">
        <v>0</v>
      </c>
      <c r="C13" s="1">
        <v>0</v>
      </c>
    </row>
    <row r="14" spans="1:7">
      <c r="A14" s="1">
        <v>14</v>
      </c>
      <c r="B14" s="2">
        <v>0</v>
      </c>
      <c r="C14" s="1">
        <v>0</v>
      </c>
    </row>
    <row r="15" spans="1:7">
      <c r="A15" s="1">
        <v>15</v>
      </c>
      <c r="B15" s="3">
        <v>0</v>
      </c>
      <c r="C15" s="1">
        <v>0</v>
      </c>
    </row>
    <row r="16" spans="1:7">
      <c r="A16" s="1">
        <v>16</v>
      </c>
      <c r="B16" s="3">
        <v>0</v>
      </c>
      <c r="C16" s="1">
        <v>0</v>
      </c>
    </row>
    <row r="17" spans="1:3">
      <c r="A17" s="1">
        <v>17</v>
      </c>
      <c r="B17" s="3">
        <v>0</v>
      </c>
      <c r="C17" s="1">
        <v>0</v>
      </c>
    </row>
    <row r="18" spans="1:3">
      <c r="A18" s="1">
        <v>18</v>
      </c>
      <c r="B18" s="3">
        <v>0</v>
      </c>
      <c r="C18" s="1">
        <v>0</v>
      </c>
    </row>
    <row r="19" spans="1:3">
      <c r="A19" s="1">
        <v>19</v>
      </c>
      <c r="B19" s="3">
        <v>0</v>
      </c>
      <c r="C19" s="1">
        <v>0</v>
      </c>
    </row>
    <row r="20" spans="1:3">
      <c r="A20" s="1">
        <v>20</v>
      </c>
      <c r="B20" s="3">
        <v>0</v>
      </c>
      <c r="C20" s="1">
        <v>0</v>
      </c>
    </row>
    <row r="21" spans="1:3">
      <c r="A21" s="1">
        <v>21</v>
      </c>
      <c r="B21" s="3">
        <v>0</v>
      </c>
      <c r="C21" s="1">
        <v>0</v>
      </c>
    </row>
    <row r="22" spans="1:3">
      <c r="A22" s="1">
        <v>22</v>
      </c>
      <c r="B22" s="3">
        <v>0</v>
      </c>
      <c r="C22" s="1">
        <v>0</v>
      </c>
    </row>
    <row r="23" spans="1:3">
      <c r="A23" s="1">
        <v>24</v>
      </c>
      <c r="B23" s="3">
        <v>0</v>
      </c>
      <c r="C23" s="1">
        <v>0</v>
      </c>
    </row>
    <row r="24" spans="1:3">
      <c r="A24" s="1">
        <v>25</v>
      </c>
      <c r="B24" s="3">
        <v>0</v>
      </c>
      <c r="C24" s="1">
        <v>0</v>
      </c>
    </row>
    <row r="25" spans="1:3">
      <c r="A25" s="1">
        <v>26</v>
      </c>
      <c r="B25" s="3">
        <v>0</v>
      </c>
      <c r="C25" s="1">
        <v>0</v>
      </c>
    </row>
    <row r="26" spans="1:3">
      <c r="A26" s="1">
        <v>28</v>
      </c>
      <c r="B26" s="3">
        <v>0</v>
      </c>
      <c r="C26" s="1">
        <v>0</v>
      </c>
    </row>
    <row r="27" spans="1:3">
      <c r="A27" s="1">
        <v>29</v>
      </c>
      <c r="B27" s="3">
        <v>0</v>
      </c>
      <c r="C27" s="1">
        <v>0</v>
      </c>
    </row>
    <row r="28" spans="1:3">
      <c r="A28" s="1">
        <v>30</v>
      </c>
      <c r="B28" s="3">
        <v>0</v>
      </c>
      <c r="C28" s="1">
        <v>0</v>
      </c>
    </row>
    <row r="29" spans="1:3">
      <c r="A29" s="1">
        <v>32</v>
      </c>
      <c r="B29" s="2">
        <v>0</v>
      </c>
      <c r="C29" s="1">
        <v>0</v>
      </c>
    </row>
    <row r="30" spans="1:3">
      <c r="A30" s="1">
        <v>33</v>
      </c>
      <c r="B30" s="2">
        <v>0</v>
      </c>
      <c r="C30" s="1">
        <v>0</v>
      </c>
    </row>
    <row r="31" spans="1:3">
      <c r="A31" s="1">
        <v>35</v>
      </c>
      <c r="B31" s="2">
        <v>0</v>
      </c>
      <c r="C31" s="1">
        <v>0</v>
      </c>
    </row>
    <row r="32" spans="1:3">
      <c r="A32" s="1">
        <v>37</v>
      </c>
      <c r="B32" s="2">
        <v>0</v>
      </c>
      <c r="C32" s="1">
        <v>0</v>
      </c>
    </row>
    <row r="33" spans="1:4">
      <c r="A33" s="1">
        <v>39</v>
      </c>
      <c r="B33" s="2">
        <v>0</v>
      </c>
      <c r="C33" s="1">
        <v>0</v>
      </c>
      <c r="D33" t="s">
        <v>41</v>
      </c>
    </row>
    <row r="34" spans="1:4">
      <c r="A34" s="1">
        <v>42</v>
      </c>
      <c r="B34" s="3">
        <v>0</v>
      </c>
      <c r="C34" s="1">
        <v>1</v>
      </c>
    </row>
    <row r="35" spans="1:4">
      <c r="A35" s="1">
        <v>43</v>
      </c>
      <c r="B35" s="3">
        <v>0</v>
      </c>
      <c r="C35" s="1">
        <v>1</v>
      </c>
    </row>
    <row r="36" spans="1:4">
      <c r="A36" s="1">
        <v>46</v>
      </c>
      <c r="B36" s="3">
        <v>0</v>
      </c>
      <c r="C36" s="1">
        <v>1</v>
      </c>
    </row>
    <row r="37" spans="1:4">
      <c r="A37" s="1">
        <v>49</v>
      </c>
      <c r="B37" s="3">
        <v>0</v>
      </c>
      <c r="C37" s="1">
        <v>1</v>
      </c>
    </row>
    <row r="38" spans="1:4">
      <c r="A38" s="1">
        <v>53</v>
      </c>
      <c r="B38" s="2">
        <v>0</v>
      </c>
      <c r="C38" s="1">
        <v>1</v>
      </c>
    </row>
    <row r="39" spans="1:4">
      <c r="A39" s="1">
        <v>61</v>
      </c>
      <c r="B39" s="2">
        <v>0</v>
      </c>
      <c r="C39" s="1">
        <v>1</v>
      </c>
    </row>
    <row r="40" spans="1:4">
      <c r="A40" s="1">
        <v>67</v>
      </c>
      <c r="B40" s="3">
        <v>0</v>
      </c>
      <c r="C40" s="1">
        <v>1</v>
      </c>
    </row>
    <row r="41" spans="1:4">
      <c r="A41" s="1">
        <v>84</v>
      </c>
      <c r="B41" s="2">
        <v>0</v>
      </c>
      <c r="C41" s="1">
        <v>1</v>
      </c>
    </row>
    <row r="42" spans="1:4">
      <c r="A42" s="1">
        <v>86</v>
      </c>
      <c r="B42" s="3">
        <v>0</v>
      </c>
      <c r="C42" s="1">
        <v>1</v>
      </c>
      <c r="D42" t="s">
        <v>41</v>
      </c>
    </row>
    <row r="43" spans="1:4">
      <c r="A43" s="1">
        <v>13</v>
      </c>
      <c r="B43" s="2">
        <v>1</v>
      </c>
      <c r="C43" s="1">
        <v>0</v>
      </c>
    </row>
    <row r="44" spans="1:4">
      <c r="A44" s="1">
        <v>23</v>
      </c>
      <c r="B44" s="3">
        <v>1</v>
      </c>
      <c r="C44" s="1">
        <v>0</v>
      </c>
    </row>
    <row r="45" spans="1:4">
      <c r="A45" s="1">
        <v>27</v>
      </c>
      <c r="B45" s="3">
        <v>1</v>
      </c>
      <c r="C45" s="1">
        <v>0</v>
      </c>
    </row>
    <row r="46" spans="1:4">
      <c r="A46" s="1">
        <v>31</v>
      </c>
      <c r="B46" s="2">
        <v>1</v>
      </c>
      <c r="C46" s="1">
        <v>0</v>
      </c>
    </row>
    <row r="47" spans="1:4">
      <c r="A47" s="1">
        <v>34</v>
      </c>
      <c r="B47" s="2">
        <v>1</v>
      </c>
      <c r="C47" s="1">
        <v>0</v>
      </c>
    </row>
    <row r="48" spans="1:4">
      <c r="A48" s="1">
        <v>36</v>
      </c>
      <c r="B48" s="2">
        <v>1</v>
      </c>
      <c r="C48" s="1">
        <v>0</v>
      </c>
    </row>
    <row r="49" spans="1:4">
      <c r="A49" s="1">
        <v>38</v>
      </c>
      <c r="B49" s="2">
        <v>1</v>
      </c>
      <c r="C49" s="1">
        <v>0</v>
      </c>
    </row>
    <row r="50" spans="1:4">
      <c r="A50" s="1">
        <v>40</v>
      </c>
      <c r="B50" s="3">
        <v>1</v>
      </c>
      <c r="C50" s="1">
        <v>0</v>
      </c>
    </row>
    <row r="51" spans="1:4">
      <c r="A51" s="1">
        <v>41</v>
      </c>
      <c r="B51" s="3">
        <v>1</v>
      </c>
      <c r="C51" s="1">
        <v>0</v>
      </c>
      <c r="D51" t="s">
        <v>41</v>
      </c>
    </row>
    <row r="52" spans="1:4">
      <c r="A52" s="1">
        <v>44</v>
      </c>
      <c r="B52" s="3">
        <v>1</v>
      </c>
      <c r="C52" s="1">
        <v>1</v>
      </c>
    </row>
    <row r="53" spans="1:4">
      <c r="A53" s="1">
        <v>45</v>
      </c>
      <c r="B53" s="3">
        <v>1</v>
      </c>
      <c r="C53" s="1">
        <v>1</v>
      </c>
    </row>
    <row r="54" spans="1:4">
      <c r="A54" s="1">
        <v>47</v>
      </c>
      <c r="B54" s="3">
        <v>1</v>
      </c>
      <c r="C54" s="1">
        <v>1</v>
      </c>
    </row>
    <row r="55" spans="1:4">
      <c r="A55" s="1">
        <v>48</v>
      </c>
      <c r="B55" s="3">
        <v>1</v>
      </c>
      <c r="C55" s="1">
        <v>1</v>
      </c>
    </row>
    <row r="56" spans="1:4">
      <c r="A56" s="1">
        <v>50</v>
      </c>
      <c r="B56" s="3">
        <v>1</v>
      </c>
      <c r="C56" s="1">
        <v>1</v>
      </c>
    </row>
    <row r="57" spans="1:4">
      <c r="A57" s="1">
        <v>51</v>
      </c>
      <c r="B57" s="3">
        <v>1</v>
      </c>
      <c r="C57" s="1">
        <v>1</v>
      </c>
    </row>
    <row r="58" spans="1:4">
      <c r="A58" s="1">
        <v>52</v>
      </c>
      <c r="B58" s="3">
        <v>1</v>
      </c>
      <c r="C58" s="1">
        <v>1</v>
      </c>
    </row>
    <row r="59" spans="1:4">
      <c r="A59" s="1">
        <v>54</v>
      </c>
      <c r="B59" s="2">
        <v>1</v>
      </c>
      <c r="C59" s="1">
        <v>1</v>
      </c>
    </row>
    <row r="60" spans="1:4">
      <c r="A60" s="1">
        <v>55</v>
      </c>
      <c r="B60" s="2">
        <v>1</v>
      </c>
      <c r="C60" s="1">
        <v>1</v>
      </c>
    </row>
    <row r="61" spans="1:4">
      <c r="A61" s="1">
        <v>56</v>
      </c>
      <c r="B61" s="2">
        <v>1</v>
      </c>
      <c r="C61" s="1">
        <v>1</v>
      </c>
    </row>
    <row r="62" spans="1:4">
      <c r="A62" s="1">
        <v>57</v>
      </c>
      <c r="B62" s="2">
        <v>1</v>
      </c>
      <c r="C62" s="1">
        <v>1</v>
      </c>
    </row>
    <row r="63" spans="1:4">
      <c r="A63" s="1">
        <v>58</v>
      </c>
      <c r="B63" s="2">
        <v>1</v>
      </c>
      <c r="C63" s="1">
        <v>1</v>
      </c>
    </row>
    <row r="64" spans="1:4">
      <c r="A64" s="1">
        <v>59</v>
      </c>
      <c r="B64" s="2">
        <v>1</v>
      </c>
      <c r="C64" s="1">
        <v>1</v>
      </c>
    </row>
    <row r="65" spans="1:3">
      <c r="A65" s="1">
        <v>60</v>
      </c>
      <c r="B65" s="2">
        <v>1</v>
      </c>
      <c r="C65" s="1">
        <v>1</v>
      </c>
    </row>
    <row r="66" spans="1:3">
      <c r="A66" s="1">
        <v>62</v>
      </c>
      <c r="B66" s="2">
        <v>1</v>
      </c>
      <c r="C66" s="1">
        <v>1</v>
      </c>
    </row>
    <row r="67" spans="1:3">
      <c r="A67" s="1">
        <v>63</v>
      </c>
      <c r="B67" s="2">
        <v>1</v>
      </c>
      <c r="C67" s="1">
        <v>1</v>
      </c>
    </row>
    <row r="68" spans="1:3">
      <c r="A68" s="1">
        <v>64</v>
      </c>
      <c r="B68" s="2">
        <v>1</v>
      </c>
      <c r="C68" s="1">
        <v>1</v>
      </c>
    </row>
    <row r="69" spans="1:3">
      <c r="A69" s="1">
        <v>65</v>
      </c>
      <c r="B69" s="2">
        <v>1</v>
      </c>
      <c r="C69" s="1">
        <v>1</v>
      </c>
    </row>
    <row r="70" spans="1:3">
      <c r="A70" s="1">
        <v>66</v>
      </c>
      <c r="B70" s="3">
        <v>1</v>
      </c>
      <c r="C70" s="1">
        <v>1</v>
      </c>
    </row>
    <row r="71" spans="1:3">
      <c r="A71" s="1">
        <v>68</v>
      </c>
      <c r="B71" s="3">
        <v>1</v>
      </c>
      <c r="C71" s="1">
        <v>1</v>
      </c>
    </row>
    <row r="72" spans="1:3">
      <c r="A72" s="1">
        <v>69</v>
      </c>
      <c r="B72" s="3">
        <v>1</v>
      </c>
      <c r="C72" s="1">
        <v>1</v>
      </c>
    </row>
    <row r="73" spans="1:3">
      <c r="A73" s="1">
        <v>70</v>
      </c>
      <c r="B73" s="3">
        <v>1</v>
      </c>
      <c r="C73" s="1">
        <v>1</v>
      </c>
    </row>
    <row r="74" spans="1:3">
      <c r="A74" s="1">
        <v>71</v>
      </c>
      <c r="B74" s="3">
        <v>1</v>
      </c>
      <c r="C74" s="1">
        <v>1</v>
      </c>
    </row>
    <row r="75" spans="1:3">
      <c r="A75" s="1">
        <v>72</v>
      </c>
      <c r="B75" s="3">
        <v>1</v>
      </c>
      <c r="C75" s="1">
        <v>1</v>
      </c>
    </row>
    <row r="76" spans="1:3">
      <c r="A76" s="1">
        <v>73</v>
      </c>
      <c r="B76" s="3">
        <v>1</v>
      </c>
      <c r="C76" s="1">
        <v>1</v>
      </c>
    </row>
    <row r="77" spans="1:3">
      <c r="A77" s="1">
        <v>74</v>
      </c>
      <c r="B77" s="3">
        <v>1</v>
      </c>
      <c r="C77" s="1">
        <v>1</v>
      </c>
    </row>
    <row r="78" spans="1:3">
      <c r="A78" s="1">
        <v>75</v>
      </c>
      <c r="B78" s="2">
        <v>1</v>
      </c>
      <c r="C78" s="1">
        <v>1</v>
      </c>
    </row>
    <row r="79" spans="1:3">
      <c r="A79" s="1">
        <v>76</v>
      </c>
      <c r="B79" s="2">
        <v>1</v>
      </c>
      <c r="C79" s="1">
        <v>1</v>
      </c>
    </row>
    <row r="80" spans="1:3">
      <c r="A80" s="1">
        <v>77</v>
      </c>
      <c r="B80" s="2">
        <v>1</v>
      </c>
      <c r="C80" s="1">
        <v>1</v>
      </c>
    </row>
    <row r="81" spans="1:3">
      <c r="A81" s="1">
        <v>78</v>
      </c>
      <c r="B81" s="2">
        <v>1</v>
      </c>
      <c r="C81" s="1">
        <v>1</v>
      </c>
    </row>
    <row r="82" spans="1:3">
      <c r="A82" s="1">
        <v>79</v>
      </c>
      <c r="B82" s="2">
        <v>1</v>
      </c>
      <c r="C82" s="1">
        <v>1</v>
      </c>
    </row>
    <row r="83" spans="1:3">
      <c r="A83" s="1">
        <v>80</v>
      </c>
      <c r="B83" s="2">
        <v>1</v>
      </c>
      <c r="C83" s="1">
        <v>1</v>
      </c>
    </row>
    <row r="84" spans="1:3">
      <c r="A84" s="1">
        <v>81</v>
      </c>
      <c r="B84" s="2">
        <v>1</v>
      </c>
      <c r="C84" s="1">
        <v>1</v>
      </c>
    </row>
    <row r="85" spans="1:3">
      <c r="A85" s="1">
        <v>82</v>
      </c>
      <c r="B85" s="2">
        <v>1</v>
      </c>
      <c r="C85" s="1">
        <v>1</v>
      </c>
    </row>
    <row r="86" spans="1:3">
      <c r="A86" s="1">
        <v>83</v>
      </c>
      <c r="B86" s="2">
        <v>1</v>
      </c>
      <c r="C86" s="1">
        <v>1</v>
      </c>
    </row>
    <row r="87" spans="1:3">
      <c r="A87" s="1">
        <v>85</v>
      </c>
      <c r="B87" s="2">
        <v>1</v>
      </c>
      <c r="C87" s="1">
        <v>1</v>
      </c>
    </row>
    <row r="88" spans="1:3">
      <c r="A88" s="1">
        <v>87</v>
      </c>
      <c r="B88" s="3">
        <v>1</v>
      </c>
      <c r="C88" s="1">
        <v>1</v>
      </c>
    </row>
    <row r="89" spans="1:3">
      <c r="A89" s="1">
        <v>88</v>
      </c>
      <c r="B89" s="3">
        <v>1</v>
      </c>
      <c r="C89" s="1">
        <v>1</v>
      </c>
    </row>
    <row r="90" spans="1:3">
      <c r="A90" s="1">
        <v>89</v>
      </c>
      <c r="B90" s="3">
        <v>1</v>
      </c>
      <c r="C90" s="1">
        <v>1</v>
      </c>
    </row>
    <row r="91" spans="1:3">
      <c r="A91" s="1">
        <v>90</v>
      </c>
      <c r="B91" s="3">
        <v>1</v>
      </c>
      <c r="C91" s="1">
        <v>1</v>
      </c>
    </row>
    <row r="92" spans="1:3">
      <c r="A92" s="1">
        <v>91</v>
      </c>
      <c r="B92" s="3">
        <v>1</v>
      </c>
      <c r="C92" s="1">
        <v>1</v>
      </c>
    </row>
    <row r="93" spans="1:3">
      <c r="A93" s="1">
        <v>92</v>
      </c>
      <c r="B93" s="3">
        <v>1</v>
      </c>
      <c r="C93" s="1">
        <v>1</v>
      </c>
    </row>
    <row r="94" spans="1:3">
      <c r="A94" s="1">
        <v>93</v>
      </c>
      <c r="B94" s="3">
        <v>1</v>
      </c>
      <c r="C94" s="1">
        <v>1</v>
      </c>
    </row>
    <row r="95" spans="1:3">
      <c r="A95" s="1">
        <v>94</v>
      </c>
      <c r="B95" s="3">
        <v>1</v>
      </c>
      <c r="C95" s="1">
        <v>1</v>
      </c>
    </row>
    <row r="96" spans="1:3">
      <c r="A96" s="1">
        <v>95</v>
      </c>
      <c r="B96" s="3">
        <v>1</v>
      </c>
      <c r="C96" s="1">
        <v>1</v>
      </c>
    </row>
    <row r="97" spans="1:3">
      <c r="A97" s="1">
        <v>96</v>
      </c>
      <c r="B97" s="3">
        <v>1</v>
      </c>
      <c r="C97" s="1">
        <v>1</v>
      </c>
    </row>
    <row r="98" spans="1:3">
      <c r="A98" s="1">
        <v>97</v>
      </c>
      <c r="B98" s="3">
        <v>1</v>
      </c>
      <c r="C98" s="1">
        <v>1</v>
      </c>
    </row>
    <row r="99" spans="1:3">
      <c r="A99" s="1">
        <v>98</v>
      </c>
      <c r="B99" s="3">
        <v>1</v>
      </c>
      <c r="C99" s="1">
        <v>1</v>
      </c>
    </row>
    <row r="100" spans="1:3">
      <c r="A100" s="1">
        <v>99</v>
      </c>
      <c r="B100" s="3">
        <v>1</v>
      </c>
      <c r="C100" s="1">
        <v>1</v>
      </c>
    </row>
    <row r="101" spans="1:3">
      <c r="A101" s="1">
        <v>100</v>
      </c>
      <c r="B101" s="3">
        <v>1</v>
      </c>
      <c r="C101" s="1">
        <v>1</v>
      </c>
    </row>
  </sheetData>
  <sortState ref="A2:C101">
    <sortCondition ref="B2:B10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05"/>
  <sheetViews>
    <sheetView tabSelected="1" topLeftCell="A19" workbookViewId="0">
      <selection activeCell="I24" sqref="I24:J24"/>
    </sheetView>
  </sheetViews>
  <sheetFormatPr defaultRowHeight="14.4"/>
  <cols>
    <col min="13" max="13" width="10.77734375" customWidth="1"/>
    <col min="14" max="14" width="10.33203125" customWidth="1"/>
    <col min="16" max="16" width="11.44140625" customWidth="1"/>
    <col min="17" max="17" width="10.109375" customWidth="1"/>
  </cols>
  <sheetData>
    <row r="1" spans="1:15">
      <c r="A1" s="1" t="s">
        <v>1</v>
      </c>
      <c r="B1" s="1" t="s">
        <v>0</v>
      </c>
      <c r="C1" s="1" t="s">
        <v>46</v>
      </c>
      <c r="D1" s="1" t="s">
        <v>47</v>
      </c>
      <c r="E1" s="1" t="s">
        <v>48</v>
      </c>
      <c r="H1" s="1" t="s">
        <v>1</v>
      </c>
      <c r="I1" s="1" t="s">
        <v>0</v>
      </c>
      <c r="J1" s="1" t="s">
        <v>48</v>
      </c>
      <c r="K1" s="4" t="s">
        <v>51</v>
      </c>
      <c r="L1" s="4" t="s">
        <v>52</v>
      </c>
      <c r="M1" s="4" t="s">
        <v>60</v>
      </c>
      <c r="N1" s="4" t="s">
        <v>61</v>
      </c>
      <c r="O1" s="4" t="s">
        <v>59</v>
      </c>
    </row>
    <row r="2" spans="1:15">
      <c r="A2" s="1">
        <v>1</v>
      </c>
      <c r="B2" s="1">
        <v>209</v>
      </c>
      <c r="C2" s="1">
        <f ca="1">ROUND(RANDBETWEEN(-250,250)/15,0)</f>
        <v>-10</v>
      </c>
      <c r="D2" s="1">
        <v>-11</v>
      </c>
      <c r="E2" s="1">
        <f>ROUND(B2*$B$105+$B$104+D2,0)</f>
        <v>94</v>
      </c>
      <c r="H2" s="2">
        <v>1</v>
      </c>
      <c r="I2" s="2">
        <v>209</v>
      </c>
      <c r="J2" s="2">
        <f>ROUND(G2*$B$105+$B$104+I2,0)</f>
        <v>115</v>
      </c>
      <c r="K2" s="2">
        <f>(I2-$I$12)/$I$13</f>
        <v>1.2682785947950022</v>
      </c>
      <c r="L2" s="2">
        <f>(J2-$J$12)/$J$13</f>
        <v>1.2682785947950022</v>
      </c>
      <c r="M2" s="2">
        <f>SQRT((K2-$I$20)^2+(L2-$J$20)^2)</f>
        <v>0</v>
      </c>
      <c r="N2" s="2">
        <f>SQRT((K2-$I$21)^2+(L2-$J$21)^2)</f>
        <v>1.0249238797866189</v>
      </c>
      <c r="O2" s="2">
        <v>1</v>
      </c>
    </row>
    <row r="3" spans="1:15">
      <c r="A3" s="1">
        <v>2</v>
      </c>
      <c r="B3" s="1">
        <v>160</v>
      </c>
      <c r="C3" s="1">
        <f t="shared" ref="C3:C66" ca="1" si="0">ROUND(RANDBETWEEN(-250,250)/15,0)</f>
        <v>-10</v>
      </c>
      <c r="D3" s="1">
        <v>-16</v>
      </c>
      <c r="E3" s="1">
        <f t="shared" ref="E3:E66" si="1">ROUND(B3*$B$105+$B$104+D3,0)</f>
        <v>42</v>
      </c>
      <c r="H3" s="2">
        <v>5</v>
      </c>
      <c r="I3" s="2">
        <v>195</v>
      </c>
      <c r="J3" s="2">
        <f>ROUND(G3*$B$105+$B$104+I3,0)</f>
        <v>101</v>
      </c>
      <c r="K3" s="2">
        <f>(I3-$I$12)/$I$13</f>
        <v>0.54354796919785808</v>
      </c>
      <c r="L3" s="2">
        <f>(J3-$J$12)/$J$13</f>
        <v>0.54354796919785808</v>
      </c>
      <c r="M3" s="2">
        <f>SQRT((K3-$I$20)^2+(L3-$J$20)^2)</f>
        <v>1.0249238797866189</v>
      </c>
      <c r="N3" s="2">
        <f>SQRT((K3-$I$21)^2+(L3-$J$21)^2)</f>
        <v>0</v>
      </c>
      <c r="O3" s="2">
        <v>1</v>
      </c>
    </row>
    <row r="4" spans="1:15">
      <c r="A4" s="1">
        <v>3</v>
      </c>
      <c r="B4" s="1">
        <v>167</v>
      </c>
      <c r="C4" s="1">
        <f t="shared" ca="1" si="0"/>
        <v>8</v>
      </c>
      <c r="D4" s="1">
        <v>-1</v>
      </c>
      <c r="E4" s="1">
        <f t="shared" si="1"/>
        <v>64</v>
      </c>
      <c r="H4" s="2">
        <v>7</v>
      </c>
      <c r="I4" s="2">
        <v>199</v>
      </c>
      <c r="J4" s="2">
        <f>ROUND(G4*$B$105+$B$104+I4,0)</f>
        <v>105</v>
      </c>
      <c r="K4" s="2">
        <f>(I4-$I$12)/$I$13</f>
        <v>0.75061386222561355</v>
      </c>
      <c r="L4" s="2">
        <f>(J4-$J$12)/$J$13</f>
        <v>0.75061386222561355</v>
      </c>
      <c r="M4" s="2">
        <f>SQRT((K4-$I$20)^2+(L4-$J$20)^2)</f>
        <v>0.73208848556187056</v>
      </c>
      <c r="N4" s="2">
        <f>SQRT((K4-$I$21)^2+(L4-$J$21)^2)</f>
        <v>0.29283539422474825</v>
      </c>
      <c r="O4" s="2">
        <v>1</v>
      </c>
    </row>
    <row r="5" spans="1:15">
      <c r="A5" s="1">
        <v>4</v>
      </c>
      <c r="B5" s="1">
        <v>181</v>
      </c>
      <c r="C5" s="1">
        <f t="shared" ca="1" si="0"/>
        <v>12</v>
      </c>
      <c r="D5" s="1">
        <v>11</v>
      </c>
      <c r="E5" s="1">
        <f t="shared" si="1"/>
        <v>89</v>
      </c>
      <c r="H5" s="2">
        <v>8</v>
      </c>
      <c r="I5" s="2">
        <v>199</v>
      </c>
      <c r="J5" s="2">
        <f>ROUND(G5*$B$105+$B$104+I5,0)</f>
        <v>105</v>
      </c>
      <c r="K5" s="2">
        <f>(I5-$I$12)/$I$13</f>
        <v>0.75061386222561355</v>
      </c>
      <c r="L5" s="2">
        <f>(J5-$J$12)/$J$13</f>
        <v>0.75061386222561355</v>
      </c>
      <c r="M5" s="2">
        <f>SQRT((K5-$I$20)^2+(L5-$J$20)^2)</f>
        <v>0.73208848556187056</v>
      </c>
      <c r="N5" s="2">
        <f>SQRT((K5-$I$21)^2+(L5-$J$21)^2)</f>
        <v>0.29283539422474825</v>
      </c>
      <c r="O5" s="2">
        <v>1</v>
      </c>
    </row>
    <row r="6" spans="1:15">
      <c r="A6" s="1">
        <v>5</v>
      </c>
      <c r="B6" s="1">
        <v>195</v>
      </c>
      <c r="C6" s="1">
        <f t="shared" ca="1" si="0"/>
        <v>14</v>
      </c>
      <c r="D6" s="1">
        <v>-3</v>
      </c>
      <c r="E6" s="1">
        <f t="shared" si="1"/>
        <v>88</v>
      </c>
      <c r="H6" s="2">
        <v>10</v>
      </c>
      <c r="I6" s="2">
        <v>205</v>
      </c>
      <c r="J6" s="2">
        <f>ROUND(G6*$B$105+$B$104+I6,0)</f>
        <v>111</v>
      </c>
      <c r="K6" s="2">
        <f>(I6-$I$12)/$I$13</f>
        <v>1.0612127017672468</v>
      </c>
      <c r="L6" s="2">
        <f>(J6-$J$12)/$J$13</f>
        <v>1.0612127017672468</v>
      </c>
      <c r="M6" s="2">
        <f>SQRT((K6-$I$20)^2+(L6-$J$20)^2)</f>
        <v>0.29283539422474814</v>
      </c>
      <c r="N6" s="2">
        <f>SQRT((K6-$I$21)^2+(L6-$J$21)^2)</f>
        <v>0.73208848556187078</v>
      </c>
      <c r="O6" s="2">
        <v>1</v>
      </c>
    </row>
    <row r="7" spans="1:15">
      <c r="A7" s="1">
        <v>6</v>
      </c>
      <c r="B7" s="1">
        <v>173</v>
      </c>
      <c r="C7" s="1">
        <f t="shared" ca="1" si="0"/>
        <v>12</v>
      </c>
      <c r="D7" s="1">
        <v>-16</v>
      </c>
      <c r="E7" s="1">
        <f t="shared" si="1"/>
        <v>54</v>
      </c>
      <c r="H7" s="3">
        <v>2</v>
      </c>
      <c r="I7" s="3">
        <v>160</v>
      </c>
      <c r="J7" s="3">
        <f>ROUND(G7*$B$105+$B$104+I7,0)</f>
        <v>66</v>
      </c>
      <c r="K7" s="3">
        <f>(I7-$I$12)/$I$13</f>
        <v>-1.2682785947950022</v>
      </c>
      <c r="L7" s="3">
        <f>(J7-$J$12)/$J$13</f>
        <v>-1.2682785947950022</v>
      </c>
      <c r="M7" s="3">
        <f>SQRT((K7-$I$20)^2+(L7-$J$20)^2)</f>
        <v>3.5872335792531662</v>
      </c>
      <c r="N7" s="3">
        <f>SQRT((K7-$I$21)^2+(L7-$J$21)^2)</f>
        <v>2.5623096994665473</v>
      </c>
      <c r="O7" s="3">
        <v>2</v>
      </c>
    </row>
    <row r="8" spans="1:15">
      <c r="A8" s="1">
        <v>7</v>
      </c>
      <c r="B8" s="1">
        <v>199</v>
      </c>
      <c r="C8" s="1">
        <f t="shared" ca="1" si="0"/>
        <v>1</v>
      </c>
      <c r="D8" s="1">
        <v>-10</v>
      </c>
      <c r="E8" s="1">
        <f t="shared" si="1"/>
        <v>85</v>
      </c>
      <c r="H8" s="3">
        <v>3</v>
      </c>
      <c r="I8" s="3">
        <v>167</v>
      </c>
      <c r="J8" s="3">
        <f>ROUND(G8*$B$105+$B$104+I8,0)</f>
        <v>73</v>
      </c>
      <c r="K8" s="3">
        <f>(I8-$I$12)/$I$13</f>
        <v>-0.90591328199643018</v>
      </c>
      <c r="L8" s="3">
        <f>(J8-$J$12)/$J$13</f>
        <v>-0.90591328199643018</v>
      </c>
      <c r="M8" s="3">
        <f>SQRT((K8-$I$20)^2+(L8-$J$20)^2)</f>
        <v>3.0747716393598568</v>
      </c>
      <c r="N8" s="3">
        <f>SQRT((K8-$I$21)^2+(L8-$J$21)^2)</f>
        <v>2.0498477595732383</v>
      </c>
      <c r="O8" s="3">
        <v>2</v>
      </c>
    </row>
    <row r="9" spans="1:15">
      <c r="A9" s="1">
        <v>8</v>
      </c>
      <c r="B9" s="1">
        <v>199</v>
      </c>
      <c r="C9" s="1">
        <f t="shared" ca="1" si="0"/>
        <v>9</v>
      </c>
      <c r="D9" s="1">
        <v>-12</v>
      </c>
      <c r="E9" s="1">
        <f t="shared" si="1"/>
        <v>83</v>
      </c>
      <c r="H9" s="3">
        <v>4</v>
      </c>
      <c r="I9" s="3">
        <v>181</v>
      </c>
      <c r="J9" s="3">
        <f>ROUND(G9*$B$105+$B$104+I9,0)</f>
        <v>87</v>
      </c>
      <c r="K9" s="3">
        <f>(I9-$I$12)/$I$13</f>
        <v>-0.18118265639928602</v>
      </c>
      <c r="L9" s="3">
        <f>(J9-$J$12)/$J$13</f>
        <v>-0.18118265639928602</v>
      </c>
      <c r="M9" s="3">
        <f>SQRT((K9-$I$20)^2+(L9-$J$20)^2)</f>
        <v>2.0498477595732378</v>
      </c>
      <c r="N9" s="3">
        <f>SQRT((K9-$I$21)^2+(L9-$J$21)^2)</f>
        <v>1.0249238797866189</v>
      </c>
      <c r="O9" s="3">
        <v>2</v>
      </c>
    </row>
    <row r="10" spans="1:15">
      <c r="A10" s="1">
        <v>9</v>
      </c>
      <c r="B10" s="1">
        <v>157</v>
      </c>
      <c r="C10" s="1">
        <f t="shared" ca="1" si="0"/>
        <v>10</v>
      </c>
      <c r="D10" s="1">
        <v>-11</v>
      </c>
      <c r="E10" s="1">
        <f t="shared" si="1"/>
        <v>44</v>
      </c>
      <c r="H10" s="3">
        <v>6</v>
      </c>
      <c r="I10" s="3">
        <v>173</v>
      </c>
      <c r="J10" s="3">
        <f>ROUND(G10*$B$105+$B$104+I10,0)</f>
        <v>79</v>
      </c>
      <c r="K10" s="3">
        <f>(I10-$I$12)/$I$13</f>
        <v>-0.59531444245479692</v>
      </c>
      <c r="L10" s="3">
        <f>(J10-$J$12)/$J$13</f>
        <v>-0.59531444245479692</v>
      </c>
      <c r="M10" s="3">
        <f>SQRT((K10-$I$20)^2+(L10-$J$20)^2)</f>
        <v>2.6355185480227346</v>
      </c>
      <c r="N10" s="3">
        <f>SQRT((K10-$I$21)^2+(L10-$J$21)^2)</f>
        <v>1.6105946682361156</v>
      </c>
      <c r="O10" s="3">
        <v>2</v>
      </c>
    </row>
    <row r="11" spans="1:15">
      <c r="A11" s="1">
        <v>10</v>
      </c>
      <c r="B11" s="1">
        <v>205</v>
      </c>
      <c r="C11" s="1">
        <f t="shared" ca="1" si="0"/>
        <v>6</v>
      </c>
      <c r="D11" s="1">
        <v>-10</v>
      </c>
      <c r="E11" s="1">
        <f t="shared" si="1"/>
        <v>91</v>
      </c>
      <c r="H11" s="3">
        <v>9</v>
      </c>
      <c r="I11" s="3">
        <v>157</v>
      </c>
      <c r="J11" s="3">
        <f>ROUND(G11*$B$105+$B$104+I11,0)</f>
        <v>63</v>
      </c>
      <c r="K11" s="3">
        <f>(I11-$I$12)/$I$13</f>
        <v>-1.4235780145658188</v>
      </c>
      <c r="L11" s="3">
        <f>(J11-$J$12)/$J$13</f>
        <v>-1.4235780145658188</v>
      </c>
      <c r="M11" s="3">
        <f>SQRT((K11-$I$20)^2+(L11-$J$20)^2)</f>
        <v>3.8068601249217275</v>
      </c>
      <c r="N11" s="3">
        <f>SQRT((K11-$I$21)^2+(L11-$J$21)^2)</f>
        <v>2.7819362451351086</v>
      </c>
      <c r="O11" s="3">
        <v>2</v>
      </c>
    </row>
    <row r="12" spans="1:15">
      <c r="A12" s="1">
        <v>11</v>
      </c>
      <c r="B12" s="1">
        <v>181</v>
      </c>
      <c r="C12" s="1">
        <f t="shared" ca="1" si="0"/>
        <v>16</v>
      </c>
      <c r="D12" s="1">
        <v>3</v>
      </c>
      <c r="E12" s="1">
        <f t="shared" si="1"/>
        <v>81</v>
      </c>
      <c r="H12" s="7" t="s">
        <v>49</v>
      </c>
      <c r="I12" s="7">
        <f>AVERAGE(I2:I11)</f>
        <v>184.5</v>
      </c>
      <c r="J12" s="7">
        <f>AVERAGE(J2:J11)</f>
        <v>90.5</v>
      </c>
      <c r="K12" s="7">
        <f t="shared" ref="K12:L12" si="2">AVERAGE(K2:K11)</f>
        <v>-4.4408920985006264E-17</v>
      </c>
      <c r="L12" s="7">
        <f t="shared" si="2"/>
        <v>-4.4408920985006264E-17</v>
      </c>
      <c r="M12" s="7">
        <f t="shared" ref="M12" si="3">AVERAGE(M2:M11)</f>
        <v>1.7936167896265833</v>
      </c>
      <c r="N12" s="7">
        <f t="shared" ref="N12" si="4">AVERAGE(N2:N11)</f>
        <v>1.2372295405995613</v>
      </c>
      <c r="O12" s="7">
        <f t="shared" ref="O12" si="5">AVERAGE(O2:O11)</f>
        <v>1.5</v>
      </c>
    </row>
    <row r="13" spans="1:15">
      <c r="A13" s="1">
        <v>12</v>
      </c>
      <c r="B13" s="1">
        <v>165</v>
      </c>
      <c r="C13" s="1">
        <f t="shared" ca="1" si="0"/>
        <v>15</v>
      </c>
      <c r="D13" s="1">
        <v>5</v>
      </c>
      <c r="E13" s="1">
        <f t="shared" si="1"/>
        <v>68</v>
      </c>
      <c r="H13" s="7" t="s">
        <v>50</v>
      </c>
      <c r="I13" s="7">
        <f>STDEV(I2:I11)</f>
        <v>19.317522270381019</v>
      </c>
      <c r="J13" s="7">
        <f>STDEV(J2:J11)</f>
        <v>19.317522270381019</v>
      </c>
      <c r="K13" s="7">
        <f t="shared" ref="K13:L13" si="6">STDEV(K2:K11)</f>
        <v>1</v>
      </c>
      <c r="L13" s="7">
        <f t="shared" si="6"/>
        <v>1</v>
      </c>
      <c r="M13" s="7">
        <f t="shared" ref="M13:O13" si="7">STDEV(M2:M11)</f>
        <v>1.4142135623730951</v>
      </c>
      <c r="N13" s="7">
        <f t="shared" si="7"/>
        <v>0.97761151879126651</v>
      </c>
      <c r="O13" s="7">
        <f t="shared" si="7"/>
        <v>0.52704627669472992</v>
      </c>
    </row>
    <row r="14" spans="1:15">
      <c r="A14" s="1">
        <v>13</v>
      </c>
      <c r="B14" s="1">
        <v>186</v>
      </c>
      <c r="C14" s="1">
        <f t="shared" ca="1" si="0"/>
        <v>-1</v>
      </c>
      <c r="D14" s="1">
        <v>9</v>
      </c>
      <c r="E14" s="1">
        <f t="shared" si="1"/>
        <v>92</v>
      </c>
    </row>
    <row r="15" spans="1:15">
      <c r="A15" s="1">
        <v>14</v>
      </c>
      <c r="B15" s="1">
        <v>166</v>
      </c>
      <c r="C15" s="1">
        <f t="shared" ca="1" si="0"/>
        <v>3</v>
      </c>
      <c r="D15" s="1">
        <v>-16</v>
      </c>
      <c r="E15" s="1">
        <f t="shared" si="1"/>
        <v>48</v>
      </c>
    </row>
    <row r="16" spans="1:15">
      <c r="A16" s="1">
        <v>15</v>
      </c>
      <c r="B16" s="1">
        <v>207</v>
      </c>
      <c r="C16" s="1">
        <f t="shared" ca="1" si="0"/>
        <v>14</v>
      </c>
      <c r="D16" s="1">
        <v>-13</v>
      </c>
      <c r="E16" s="1">
        <f t="shared" si="1"/>
        <v>90</v>
      </c>
      <c r="H16" t="s">
        <v>53</v>
      </c>
    </row>
    <row r="17" spans="1:17">
      <c r="A17" s="1">
        <v>16</v>
      </c>
      <c r="B17" s="1">
        <v>195</v>
      </c>
      <c r="C17" s="1">
        <f t="shared" ca="1" si="0"/>
        <v>-7</v>
      </c>
      <c r="D17" s="1">
        <v>-7</v>
      </c>
      <c r="E17" s="1">
        <f t="shared" si="1"/>
        <v>84</v>
      </c>
    </row>
    <row r="18" spans="1:17">
      <c r="A18" s="1">
        <v>17</v>
      </c>
      <c r="B18" s="1">
        <v>199</v>
      </c>
      <c r="C18" s="1">
        <f t="shared" ca="1" si="0"/>
        <v>5</v>
      </c>
      <c r="D18" s="1">
        <v>-4</v>
      </c>
      <c r="E18" s="1">
        <f t="shared" si="1"/>
        <v>91</v>
      </c>
      <c r="H18" t="s">
        <v>54</v>
      </c>
    </row>
    <row r="19" spans="1:17">
      <c r="A19" s="1">
        <v>18</v>
      </c>
      <c r="B19" s="1">
        <v>202</v>
      </c>
      <c r="C19" s="1">
        <f t="shared" ca="1" si="0"/>
        <v>2</v>
      </c>
      <c r="D19" s="1">
        <v>3</v>
      </c>
      <c r="E19" s="1">
        <f t="shared" si="1"/>
        <v>101</v>
      </c>
      <c r="I19" t="s">
        <v>56</v>
      </c>
      <c r="J19" t="s">
        <v>57</v>
      </c>
    </row>
    <row r="20" spans="1:17">
      <c r="A20" s="1">
        <v>19</v>
      </c>
      <c r="B20" s="1">
        <v>205</v>
      </c>
      <c r="C20" s="1">
        <f t="shared" ca="1" si="0"/>
        <v>12</v>
      </c>
      <c r="D20" s="1">
        <v>9</v>
      </c>
      <c r="E20" s="1">
        <f t="shared" si="1"/>
        <v>110</v>
      </c>
      <c r="H20" t="s">
        <v>55</v>
      </c>
      <c r="I20">
        <f>K2</f>
        <v>1.2682785947950022</v>
      </c>
      <c r="J20">
        <f>L2</f>
        <v>1.2682785947950022</v>
      </c>
    </row>
    <row r="21" spans="1:17">
      <c r="A21" s="1">
        <v>20</v>
      </c>
      <c r="B21" s="1">
        <v>180</v>
      </c>
      <c r="C21" s="1">
        <f t="shared" ca="1" si="0"/>
        <v>4</v>
      </c>
      <c r="D21" s="1">
        <v>-14</v>
      </c>
      <c r="E21" s="1">
        <f t="shared" si="1"/>
        <v>63</v>
      </c>
      <c r="H21" t="s">
        <v>58</v>
      </c>
      <c r="I21">
        <f>K3</f>
        <v>0.54354796919785808</v>
      </c>
      <c r="J21">
        <f>L3</f>
        <v>0.54354796919785808</v>
      </c>
    </row>
    <row r="22" spans="1:17">
      <c r="A22" s="1">
        <v>21</v>
      </c>
      <c r="B22" s="1">
        <v>205</v>
      </c>
      <c r="C22" s="1">
        <f t="shared" ca="1" si="0"/>
        <v>-11</v>
      </c>
      <c r="D22" s="1">
        <v>2</v>
      </c>
      <c r="E22" s="1">
        <f t="shared" si="1"/>
        <v>103</v>
      </c>
    </row>
    <row r="23" spans="1:17">
      <c r="A23" s="1">
        <v>22</v>
      </c>
      <c r="B23" s="1">
        <v>182</v>
      </c>
      <c r="C23" s="1">
        <f t="shared" ca="1" si="0"/>
        <v>-4</v>
      </c>
      <c r="D23" s="1">
        <v>-4</v>
      </c>
      <c r="E23" s="1">
        <f t="shared" si="1"/>
        <v>75</v>
      </c>
      <c r="H23" t="s">
        <v>62</v>
      </c>
      <c r="I23">
        <f>AVERAGE(K2:K6)</f>
        <v>0.87485339804226681</v>
      </c>
      <c r="J23">
        <f>AVERAGE(L2:L6)</f>
        <v>0.87485339804226681</v>
      </c>
    </row>
    <row r="24" spans="1:17">
      <c r="A24" s="1">
        <v>23</v>
      </c>
      <c r="B24" s="1">
        <v>176</v>
      </c>
      <c r="C24" s="1">
        <f t="shared" ca="1" si="0"/>
        <v>8</v>
      </c>
      <c r="D24" s="1">
        <v>-5</v>
      </c>
      <c r="E24" s="1">
        <f t="shared" si="1"/>
        <v>68</v>
      </c>
      <c r="H24" t="s">
        <v>63</v>
      </c>
      <c r="I24">
        <f>AVERAGE(K7:K11)</f>
        <v>-0.87485339804226681</v>
      </c>
      <c r="J24">
        <f>AVERAGE(L7:L11)</f>
        <v>-0.87485339804226681</v>
      </c>
    </row>
    <row r="25" spans="1:17">
      <c r="A25" s="1">
        <v>24</v>
      </c>
      <c r="B25" s="1">
        <v>207</v>
      </c>
      <c r="C25" s="1">
        <f t="shared" ca="1" si="0"/>
        <v>-3</v>
      </c>
      <c r="D25" s="1">
        <v>-5</v>
      </c>
      <c r="E25" s="1">
        <f t="shared" si="1"/>
        <v>98</v>
      </c>
    </row>
    <row r="26" spans="1:17">
      <c r="A26" s="1">
        <v>25</v>
      </c>
      <c r="B26" s="1">
        <v>171</v>
      </c>
      <c r="C26" s="1">
        <f t="shared" ca="1" si="0"/>
        <v>-10</v>
      </c>
      <c r="D26" s="1">
        <v>-2</v>
      </c>
      <c r="E26" s="1">
        <f t="shared" si="1"/>
        <v>66</v>
      </c>
      <c r="H26" t="s">
        <v>64</v>
      </c>
    </row>
    <row r="27" spans="1:17">
      <c r="A27" s="1">
        <v>26</v>
      </c>
      <c r="B27" s="1">
        <v>193</v>
      </c>
      <c r="C27" s="1">
        <f t="shared" ca="1" si="0"/>
        <v>3</v>
      </c>
      <c r="D27" s="1">
        <v>-11</v>
      </c>
      <c r="E27" s="1">
        <f t="shared" si="1"/>
        <v>78</v>
      </c>
    </row>
    <row r="28" spans="1:17">
      <c r="A28" s="1">
        <v>27</v>
      </c>
      <c r="B28" s="1">
        <v>202</v>
      </c>
      <c r="C28" s="1">
        <f t="shared" ca="1" si="0"/>
        <v>-1</v>
      </c>
      <c r="D28" s="1">
        <v>5</v>
      </c>
      <c r="E28" s="1">
        <f t="shared" si="1"/>
        <v>103</v>
      </c>
      <c r="H28" s="1" t="s">
        <v>1</v>
      </c>
      <c r="I28" s="1" t="s">
        <v>0</v>
      </c>
      <c r="J28" s="1" t="s">
        <v>48</v>
      </c>
      <c r="K28" s="1" t="s">
        <v>51</v>
      </c>
      <c r="L28" s="1" t="s">
        <v>52</v>
      </c>
      <c r="M28" s="1" t="s">
        <v>60</v>
      </c>
      <c r="N28" s="1" t="s">
        <v>61</v>
      </c>
      <c r="O28" s="1" t="s">
        <v>59</v>
      </c>
      <c r="P28" s="1" t="s">
        <v>65</v>
      </c>
      <c r="Q28" s="4" t="s">
        <v>66</v>
      </c>
    </row>
    <row r="29" spans="1:17">
      <c r="A29" s="1">
        <v>28</v>
      </c>
      <c r="B29" s="1">
        <v>155</v>
      </c>
      <c r="C29" s="1">
        <f t="shared" ca="1" si="0"/>
        <v>-3</v>
      </c>
      <c r="D29" s="1">
        <v>6</v>
      </c>
      <c r="E29" s="1">
        <f t="shared" si="1"/>
        <v>59</v>
      </c>
      <c r="H29" s="7">
        <v>1</v>
      </c>
      <c r="I29" s="7">
        <v>209</v>
      </c>
      <c r="J29" s="7">
        <v>115</v>
      </c>
      <c r="K29" s="7">
        <v>1.268278595</v>
      </c>
      <c r="L29" s="7">
        <v>1.268278595</v>
      </c>
      <c r="M29" s="7">
        <f>SQRT((K29-$I$23)^2+(L29-$J$23)^2)</f>
        <v>0.5563872493169324</v>
      </c>
      <c r="N29" s="7">
        <f>SQRT((K29-$I$24)^2+(L29-$J$24)^2)</f>
        <v>3.0308463305160549</v>
      </c>
      <c r="O29" s="7">
        <v>1</v>
      </c>
      <c r="P29" s="7">
        <v>1</v>
      </c>
      <c r="Q29" s="7">
        <f>IF(O29=P29,1,0)</f>
        <v>1</v>
      </c>
    </row>
    <row r="30" spans="1:17">
      <c r="A30" s="1">
        <v>29</v>
      </c>
      <c r="B30" s="1">
        <v>182</v>
      </c>
      <c r="C30" s="1">
        <f t="shared" ca="1" si="0"/>
        <v>-5</v>
      </c>
      <c r="D30" s="1">
        <v>-11</v>
      </c>
      <c r="E30" s="1">
        <f t="shared" si="1"/>
        <v>68</v>
      </c>
      <c r="H30" s="7">
        <v>5</v>
      </c>
      <c r="I30" s="7">
        <v>195</v>
      </c>
      <c r="J30" s="7">
        <v>101</v>
      </c>
      <c r="K30" s="7">
        <v>0.54354796900000002</v>
      </c>
      <c r="L30" s="7">
        <v>0.54354796900000002</v>
      </c>
      <c r="M30" s="7">
        <f t="shared" ref="M30:M38" si="8">SQRT((K30-$I$23)^2+(L30-$J$23)^2)</f>
        <v>0.46853663103941079</v>
      </c>
      <c r="N30" s="7">
        <f t="shared" ref="N30:N38" si="9">SQRT((K30-$I$24)^2+(L30-$J$24)^2)</f>
        <v>2.0059224501597122</v>
      </c>
      <c r="O30" s="7">
        <v>1</v>
      </c>
      <c r="P30" s="7">
        <v>1</v>
      </c>
      <c r="Q30" s="7">
        <f t="shared" ref="Q30:Q38" si="10">IF(O30=P30,1,0)</f>
        <v>1</v>
      </c>
    </row>
    <row r="31" spans="1:17">
      <c r="A31" s="1">
        <v>30</v>
      </c>
      <c r="B31" s="1">
        <v>177</v>
      </c>
      <c r="C31" s="1">
        <f t="shared" ca="1" si="0"/>
        <v>-6</v>
      </c>
      <c r="D31" s="1">
        <v>-10</v>
      </c>
      <c r="E31" s="1">
        <f t="shared" si="1"/>
        <v>64</v>
      </c>
      <c r="H31" s="7">
        <v>7</v>
      </c>
      <c r="I31" s="7">
        <v>199</v>
      </c>
      <c r="J31" s="7">
        <v>105</v>
      </c>
      <c r="K31" s="7">
        <v>0.75061386200000002</v>
      </c>
      <c r="L31" s="7">
        <v>0.75061386200000002</v>
      </c>
      <c r="M31" s="7">
        <f t="shared" si="8"/>
        <v>0.17570123685391464</v>
      </c>
      <c r="N31" s="7">
        <f t="shared" si="9"/>
        <v>2.2987578443452081</v>
      </c>
      <c r="O31" s="7">
        <v>1</v>
      </c>
      <c r="P31" s="7">
        <v>1</v>
      </c>
      <c r="Q31" s="7">
        <f t="shared" si="10"/>
        <v>1</v>
      </c>
    </row>
    <row r="32" spans="1:17">
      <c r="A32" s="1">
        <v>31</v>
      </c>
      <c r="B32" s="1">
        <v>178</v>
      </c>
      <c r="C32" s="1">
        <f t="shared" ca="1" si="0"/>
        <v>7</v>
      </c>
      <c r="D32" s="1">
        <v>-13</v>
      </c>
      <c r="E32" s="1">
        <f t="shared" si="1"/>
        <v>62</v>
      </c>
      <c r="H32" s="7">
        <v>8</v>
      </c>
      <c r="I32" s="7">
        <v>199</v>
      </c>
      <c r="J32" s="7">
        <v>105</v>
      </c>
      <c r="K32" s="7">
        <v>0.75061386200000002</v>
      </c>
      <c r="L32" s="7">
        <v>0.75061386200000002</v>
      </c>
      <c r="M32" s="7">
        <f t="shared" si="8"/>
        <v>0.17570123685391464</v>
      </c>
      <c r="N32" s="7">
        <f t="shared" si="9"/>
        <v>2.2987578443452081</v>
      </c>
      <c r="O32" s="7">
        <v>1</v>
      </c>
      <c r="P32" s="7">
        <v>1</v>
      </c>
      <c r="Q32" s="7">
        <f t="shared" si="10"/>
        <v>1</v>
      </c>
    </row>
    <row r="33" spans="1:17">
      <c r="A33" s="1">
        <v>32</v>
      </c>
      <c r="B33" s="1">
        <v>192</v>
      </c>
      <c r="C33" s="1">
        <f t="shared" ca="1" si="0"/>
        <v>16</v>
      </c>
      <c r="D33" s="1">
        <v>-7</v>
      </c>
      <c r="E33" s="1">
        <f t="shared" si="1"/>
        <v>81</v>
      </c>
      <c r="H33" s="7">
        <v>10</v>
      </c>
      <c r="I33" s="7">
        <v>205</v>
      </c>
      <c r="J33" s="7">
        <v>111</v>
      </c>
      <c r="K33" s="7">
        <v>1.061212702</v>
      </c>
      <c r="L33" s="7">
        <v>1.061212702</v>
      </c>
      <c r="M33" s="7">
        <f t="shared" si="8"/>
        <v>0.2635518551314362</v>
      </c>
      <c r="N33" s="7">
        <f t="shared" si="9"/>
        <v>2.7380109363305589</v>
      </c>
      <c r="O33" s="7">
        <v>1</v>
      </c>
      <c r="P33" s="7">
        <v>1</v>
      </c>
      <c r="Q33" s="7">
        <f t="shared" si="10"/>
        <v>1</v>
      </c>
    </row>
    <row r="34" spans="1:17">
      <c r="A34" s="1">
        <v>33</v>
      </c>
      <c r="B34" s="1">
        <v>158</v>
      </c>
      <c r="C34" s="1">
        <f t="shared" ca="1" si="0"/>
        <v>13</v>
      </c>
      <c r="D34" s="1">
        <v>12</v>
      </c>
      <c r="E34" s="1">
        <f t="shared" si="1"/>
        <v>68</v>
      </c>
      <c r="H34" s="9">
        <v>2</v>
      </c>
      <c r="I34" s="9">
        <v>160</v>
      </c>
      <c r="J34" s="9">
        <v>66</v>
      </c>
      <c r="K34" s="9">
        <v>-1.268278595</v>
      </c>
      <c r="L34" s="9">
        <v>-1.268278595</v>
      </c>
      <c r="M34" s="9">
        <f t="shared" si="8"/>
        <v>3.0308463305160549</v>
      </c>
      <c r="N34" s="9">
        <f t="shared" si="9"/>
        <v>0.5563872493169324</v>
      </c>
      <c r="O34" s="9">
        <v>2</v>
      </c>
      <c r="P34" s="9">
        <v>2</v>
      </c>
      <c r="Q34" s="9">
        <f t="shared" si="10"/>
        <v>1</v>
      </c>
    </row>
    <row r="35" spans="1:17">
      <c r="A35" s="1">
        <v>34</v>
      </c>
      <c r="B35" s="1">
        <v>166</v>
      </c>
      <c r="C35" s="1">
        <f t="shared" ca="1" si="0"/>
        <v>4</v>
      </c>
      <c r="D35" s="1">
        <v>-9</v>
      </c>
      <c r="E35" s="1">
        <f t="shared" si="1"/>
        <v>55</v>
      </c>
      <c r="H35" s="9">
        <v>3</v>
      </c>
      <c r="I35" s="9">
        <v>167</v>
      </c>
      <c r="J35" s="9">
        <v>73</v>
      </c>
      <c r="K35" s="9">
        <v>-0.90591328199999999</v>
      </c>
      <c r="L35" s="9">
        <v>-0.90591328199999999</v>
      </c>
      <c r="M35" s="9">
        <f t="shared" si="8"/>
        <v>2.5183843903378835</v>
      </c>
      <c r="N35" s="9">
        <f t="shared" si="9"/>
        <v>4.392530913876079E-2</v>
      </c>
      <c r="O35" s="9">
        <v>2</v>
      </c>
      <c r="P35" s="9">
        <v>2</v>
      </c>
      <c r="Q35" s="9">
        <f t="shared" si="10"/>
        <v>1</v>
      </c>
    </row>
    <row r="36" spans="1:17">
      <c r="A36" s="1">
        <v>35</v>
      </c>
      <c r="B36" s="1">
        <v>210</v>
      </c>
      <c r="C36" s="1">
        <f t="shared" ca="1" si="0"/>
        <v>-6</v>
      </c>
      <c r="D36" s="1">
        <v>-16</v>
      </c>
      <c r="E36" s="1">
        <f t="shared" si="1"/>
        <v>90</v>
      </c>
      <c r="H36" s="9">
        <v>4</v>
      </c>
      <c r="I36" s="9">
        <v>181</v>
      </c>
      <c r="J36" s="9">
        <v>87</v>
      </c>
      <c r="K36" s="9">
        <v>-0.181182656</v>
      </c>
      <c r="L36" s="9">
        <v>-0.181182656</v>
      </c>
      <c r="M36" s="9">
        <f t="shared" si="8"/>
        <v>1.4934605099815406</v>
      </c>
      <c r="N36" s="9">
        <f t="shared" si="9"/>
        <v>0.98099857121758227</v>
      </c>
      <c r="O36" s="9">
        <v>2</v>
      </c>
      <c r="P36" s="9">
        <v>2</v>
      </c>
      <c r="Q36" s="9">
        <f t="shared" si="10"/>
        <v>1</v>
      </c>
    </row>
    <row r="37" spans="1:17">
      <c r="A37" s="1">
        <v>36</v>
      </c>
      <c r="B37" s="1">
        <v>159</v>
      </c>
      <c r="C37" s="1">
        <f t="shared" ca="1" si="0"/>
        <v>16</v>
      </c>
      <c r="D37" s="1">
        <v>-3</v>
      </c>
      <c r="E37" s="1">
        <f t="shared" si="1"/>
        <v>54</v>
      </c>
      <c r="H37" s="9">
        <v>6</v>
      </c>
      <c r="I37" s="9">
        <v>173</v>
      </c>
      <c r="J37" s="9">
        <v>79</v>
      </c>
      <c r="K37" s="9">
        <v>-0.59531444200000005</v>
      </c>
      <c r="L37" s="9">
        <v>-0.59531444200000005</v>
      </c>
      <c r="M37" s="9">
        <f t="shared" si="8"/>
        <v>2.0791312983525327</v>
      </c>
      <c r="N37" s="9">
        <f t="shared" si="9"/>
        <v>0.39532778284659009</v>
      </c>
      <c r="O37" s="9">
        <v>2</v>
      </c>
      <c r="P37" s="9">
        <v>2</v>
      </c>
      <c r="Q37" s="9">
        <f t="shared" si="10"/>
        <v>1</v>
      </c>
    </row>
    <row r="38" spans="1:17">
      <c r="A38" s="1">
        <v>37</v>
      </c>
      <c r="B38" s="1">
        <v>208</v>
      </c>
      <c r="C38" s="1">
        <f t="shared" ca="1" si="0"/>
        <v>-1</v>
      </c>
      <c r="D38" s="1">
        <v>5</v>
      </c>
      <c r="E38" s="1">
        <f t="shared" si="1"/>
        <v>109</v>
      </c>
      <c r="H38" s="9">
        <v>9</v>
      </c>
      <c r="I38" s="9">
        <v>157</v>
      </c>
      <c r="J38" s="9">
        <v>63</v>
      </c>
      <c r="K38" s="9">
        <v>-1.4235780149999999</v>
      </c>
      <c r="L38" s="9">
        <v>-1.4235780149999999</v>
      </c>
      <c r="M38" s="9">
        <f t="shared" si="8"/>
        <v>3.2504728765087307</v>
      </c>
      <c r="N38" s="9">
        <f t="shared" si="9"/>
        <v>0.77601379530960779</v>
      </c>
      <c r="O38" s="9">
        <v>2</v>
      </c>
      <c r="P38" s="9">
        <v>2</v>
      </c>
      <c r="Q38" s="9">
        <f t="shared" si="10"/>
        <v>1</v>
      </c>
    </row>
    <row r="39" spans="1:17">
      <c r="A39" s="1">
        <v>38</v>
      </c>
      <c r="B39" s="1">
        <v>177</v>
      </c>
      <c r="C39" s="1">
        <f t="shared" ca="1" si="0"/>
        <v>-9</v>
      </c>
      <c r="D39" s="1">
        <v>-8</v>
      </c>
      <c r="E39" s="1">
        <f t="shared" si="1"/>
        <v>66</v>
      </c>
      <c r="H39" s="1" t="s">
        <v>49</v>
      </c>
      <c r="I39" s="1">
        <f>AVERAGE(I29:I38)</f>
        <v>184.5</v>
      </c>
      <c r="J39" s="1">
        <f t="shared" ref="J39:Q39" si="11">AVERAGE(J29:J38)</f>
        <v>90.5</v>
      </c>
      <c r="K39" s="1">
        <f t="shared" si="11"/>
        <v>-2.2204460492503132E-17</v>
      </c>
      <c r="L39" s="1">
        <f t="shared" si="11"/>
        <v>-2.2204460492503132E-17</v>
      </c>
      <c r="M39" s="1">
        <f t="shared" si="11"/>
        <v>1.4012173614892351</v>
      </c>
      <c r="N39" s="1">
        <f t="shared" si="11"/>
        <v>1.5124948113526213</v>
      </c>
      <c r="O39" s="1">
        <f t="shared" si="11"/>
        <v>1.5</v>
      </c>
      <c r="P39" s="1">
        <f t="shared" si="11"/>
        <v>1.5</v>
      </c>
      <c r="Q39" s="8">
        <f t="shared" si="11"/>
        <v>1</v>
      </c>
    </row>
    <row r="40" spans="1:17">
      <c r="A40" s="1">
        <v>39</v>
      </c>
      <c r="B40" s="1">
        <v>183</v>
      </c>
      <c r="C40" s="1">
        <f t="shared" ca="1" si="0"/>
        <v>-4</v>
      </c>
      <c r="D40" s="1">
        <v>-13</v>
      </c>
      <c r="E40" s="1">
        <f t="shared" si="1"/>
        <v>67</v>
      </c>
      <c r="H40" s="1" t="s">
        <v>50</v>
      </c>
      <c r="I40" s="1">
        <f>STDEV(I29:I38)</f>
        <v>19.317522270381019</v>
      </c>
      <c r="J40" s="1">
        <f t="shared" ref="J40:Q40" si="12">STDEV(J29:J38)</f>
        <v>19.317522270381019</v>
      </c>
      <c r="K40" s="1">
        <f t="shared" si="12"/>
        <v>1.0000000000665534</v>
      </c>
      <c r="L40" s="1">
        <f t="shared" si="12"/>
        <v>1.0000000000665534</v>
      </c>
      <c r="M40" s="1">
        <f t="shared" si="12"/>
        <v>1.2325794282420457</v>
      </c>
      <c r="N40" s="1">
        <f t="shared" si="12"/>
        <v>1.0765667559438878</v>
      </c>
      <c r="O40" s="1">
        <f t="shared" si="12"/>
        <v>0.52704627669472992</v>
      </c>
      <c r="P40" s="1">
        <f t="shared" si="12"/>
        <v>0.52704627669472992</v>
      </c>
      <c r="Q40" s="1">
        <f t="shared" si="12"/>
        <v>0</v>
      </c>
    </row>
    <row r="41" spans="1:17">
      <c r="A41" s="1">
        <v>40</v>
      </c>
      <c r="B41" s="1">
        <v>200</v>
      </c>
      <c r="C41" s="1">
        <f t="shared" ca="1" si="0"/>
        <v>-2</v>
      </c>
      <c r="D41" s="1">
        <v>-13</v>
      </c>
      <c r="E41" s="1">
        <f t="shared" si="1"/>
        <v>83</v>
      </c>
    </row>
    <row r="42" spans="1:17">
      <c r="A42" s="1">
        <v>41</v>
      </c>
      <c r="B42" s="1">
        <v>175</v>
      </c>
      <c r="C42" s="1">
        <f t="shared" ca="1" si="0"/>
        <v>-16</v>
      </c>
      <c r="D42" s="1">
        <v>2</v>
      </c>
      <c r="E42" s="1">
        <f t="shared" si="1"/>
        <v>74</v>
      </c>
    </row>
    <row r="43" spans="1:17">
      <c r="A43" s="1">
        <v>42</v>
      </c>
      <c r="B43" s="1">
        <v>197</v>
      </c>
      <c r="C43" s="1">
        <f t="shared" ca="1" si="0"/>
        <v>2</v>
      </c>
      <c r="D43" s="1">
        <v>3</v>
      </c>
      <c r="E43" s="1">
        <f t="shared" si="1"/>
        <v>96</v>
      </c>
    </row>
    <row r="44" spans="1:17">
      <c r="A44" s="1">
        <v>43</v>
      </c>
      <c r="B44" s="1">
        <v>155</v>
      </c>
      <c r="C44" s="1">
        <f t="shared" ca="1" si="0"/>
        <v>0</v>
      </c>
      <c r="D44" s="1">
        <v>-3</v>
      </c>
      <c r="E44" s="1">
        <f t="shared" si="1"/>
        <v>50</v>
      </c>
    </row>
    <row r="45" spans="1:17">
      <c r="A45" s="1">
        <v>44</v>
      </c>
      <c r="B45" s="1">
        <v>171</v>
      </c>
      <c r="C45" s="1">
        <f t="shared" ca="1" si="0"/>
        <v>-13</v>
      </c>
      <c r="D45" s="1">
        <v>-14</v>
      </c>
      <c r="E45" s="1">
        <f t="shared" si="1"/>
        <v>54</v>
      </c>
    </row>
    <row r="46" spans="1:17">
      <c r="A46" s="1">
        <v>45</v>
      </c>
      <c r="B46" s="1">
        <v>189</v>
      </c>
      <c r="C46" s="1">
        <f t="shared" ca="1" si="0"/>
        <v>-3</v>
      </c>
      <c r="D46" s="1">
        <v>10</v>
      </c>
      <c r="E46" s="1">
        <f t="shared" si="1"/>
        <v>96</v>
      </c>
    </row>
    <row r="47" spans="1:17">
      <c r="A47" s="1">
        <v>46</v>
      </c>
      <c r="B47" s="1">
        <v>205</v>
      </c>
      <c r="C47" s="1">
        <f t="shared" ca="1" si="0"/>
        <v>10</v>
      </c>
      <c r="D47" s="1">
        <v>10</v>
      </c>
      <c r="E47" s="1">
        <f t="shared" si="1"/>
        <v>111</v>
      </c>
    </row>
    <row r="48" spans="1:17">
      <c r="A48" s="1">
        <v>47</v>
      </c>
      <c r="B48" s="1">
        <v>163</v>
      </c>
      <c r="C48" s="1">
        <f t="shared" ca="1" si="0"/>
        <v>15</v>
      </c>
      <c r="D48" s="1">
        <v>-15</v>
      </c>
      <c r="E48" s="1">
        <f t="shared" si="1"/>
        <v>46</v>
      </c>
    </row>
    <row r="49" spans="1:5">
      <c r="A49" s="1">
        <v>48</v>
      </c>
      <c r="B49" s="1">
        <v>204</v>
      </c>
      <c r="C49" s="1">
        <f t="shared" ca="1" si="0"/>
        <v>7</v>
      </c>
      <c r="D49" s="1">
        <v>-6</v>
      </c>
      <c r="E49" s="1">
        <f t="shared" si="1"/>
        <v>94</v>
      </c>
    </row>
    <row r="50" spans="1:5">
      <c r="A50" s="1">
        <v>49</v>
      </c>
      <c r="B50" s="1">
        <v>172</v>
      </c>
      <c r="C50" s="1">
        <f t="shared" ca="1" si="0"/>
        <v>6</v>
      </c>
      <c r="D50" s="1">
        <v>10</v>
      </c>
      <c r="E50" s="1">
        <f t="shared" si="1"/>
        <v>79</v>
      </c>
    </row>
    <row r="51" spans="1:5">
      <c r="A51" s="1">
        <v>50</v>
      </c>
      <c r="B51" s="1">
        <v>185</v>
      </c>
      <c r="C51" s="1">
        <f t="shared" ca="1" si="0"/>
        <v>-7</v>
      </c>
      <c r="D51" s="1">
        <v>-12</v>
      </c>
      <c r="E51" s="1">
        <f t="shared" si="1"/>
        <v>70</v>
      </c>
    </row>
    <row r="52" spans="1:5">
      <c r="A52" s="1">
        <v>51</v>
      </c>
      <c r="B52" s="1">
        <v>206</v>
      </c>
      <c r="C52" s="1">
        <f t="shared" ca="1" si="0"/>
        <v>-13</v>
      </c>
      <c r="D52" s="1">
        <v>8</v>
      </c>
      <c r="E52" s="1">
        <f t="shared" si="1"/>
        <v>110</v>
      </c>
    </row>
    <row r="53" spans="1:5">
      <c r="A53" s="1">
        <v>52</v>
      </c>
      <c r="B53" s="1">
        <v>193</v>
      </c>
      <c r="C53" s="1">
        <f t="shared" ca="1" si="0"/>
        <v>7</v>
      </c>
      <c r="D53" s="1">
        <v>12</v>
      </c>
      <c r="E53" s="1">
        <f t="shared" si="1"/>
        <v>101</v>
      </c>
    </row>
    <row r="54" spans="1:5">
      <c r="A54" s="1">
        <v>53</v>
      </c>
      <c r="B54" s="1">
        <v>162</v>
      </c>
      <c r="C54" s="1">
        <f t="shared" ca="1" si="0"/>
        <v>-2</v>
      </c>
      <c r="D54" s="1">
        <v>13</v>
      </c>
      <c r="E54" s="1">
        <f t="shared" si="1"/>
        <v>73</v>
      </c>
    </row>
    <row r="55" spans="1:5">
      <c r="A55" s="1">
        <v>54</v>
      </c>
      <c r="B55" s="1">
        <v>190</v>
      </c>
      <c r="C55" s="1">
        <f t="shared" ca="1" si="0"/>
        <v>4</v>
      </c>
      <c r="D55" s="1">
        <v>-8</v>
      </c>
      <c r="E55" s="1">
        <f t="shared" si="1"/>
        <v>79</v>
      </c>
    </row>
    <row r="56" spans="1:5">
      <c r="A56" s="1">
        <v>55</v>
      </c>
      <c r="B56" s="1">
        <v>188</v>
      </c>
      <c r="C56" s="1">
        <f t="shared" ca="1" si="0"/>
        <v>-15</v>
      </c>
      <c r="D56" s="1">
        <v>2</v>
      </c>
      <c r="E56" s="1">
        <f t="shared" si="1"/>
        <v>87</v>
      </c>
    </row>
    <row r="57" spans="1:5">
      <c r="A57" s="1">
        <v>56</v>
      </c>
      <c r="B57" s="1">
        <v>154</v>
      </c>
      <c r="C57" s="1">
        <f t="shared" ca="1" si="0"/>
        <v>-4</v>
      </c>
      <c r="D57" s="1">
        <v>-2</v>
      </c>
      <c r="E57" s="1">
        <f t="shared" si="1"/>
        <v>50</v>
      </c>
    </row>
    <row r="58" spans="1:5">
      <c r="A58" s="1">
        <v>57</v>
      </c>
      <c r="B58" s="1">
        <v>162</v>
      </c>
      <c r="C58" s="1">
        <f t="shared" ca="1" si="0"/>
        <v>-4</v>
      </c>
      <c r="D58" s="1">
        <v>-14</v>
      </c>
      <c r="E58" s="1">
        <f t="shared" si="1"/>
        <v>46</v>
      </c>
    </row>
    <row r="59" spans="1:5">
      <c r="A59" s="1">
        <v>58</v>
      </c>
      <c r="B59" s="1">
        <v>162</v>
      </c>
      <c r="C59" s="1">
        <f t="shared" ca="1" si="0"/>
        <v>-5</v>
      </c>
      <c r="D59" s="1">
        <v>14</v>
      </c>
      <c r="E59" s="1">
        <f t="shared" si="1"/>
        <v>74</v>
      </c>
    </row>
    <row r="60" spans="1:5">
      <c r="A60" s="1">
        <v>59</v>
      </c>
      <c r="B60" s="1">
        <v>174</v>
      </c>
      <c r="C60" s="1">
        <f t="shared" ca="1" si="0"/>
        <v>-7</v>
      </c>
      <c r="D60" s="1">
        <v>-14</v>
      </c>
      <c r="E60" s="1">
        <f t="shared" si="1"/>
        <v>57</v>
      </c>
    </row>
    <row r="61" spans="1:5">
      <c r="A61" s="1">
        <v>60</v>
      </c>
      <c r="B61" s="1">
        <v>184</v>
      </c>
      <c r="C61" s="1">
        <f t="shared" ca="1" si="0"/>
        <v>16</v>
      </c>
      <c r="D61" s="1">
        <v>16</v>
      </c>
      <c r="E61" s="1">
        <f t="shared" si="1"/>
        <v>97</v>
      </c>
    </row>
    <row r="62" spans="1:5">
      <c r="A62" s="1">
        <v>61</v>
      </c>
      <c r="B62" s="1">
        <v>203</v>
      </c>
      <c r="C62" s="1">
        <f t="shared" ca="1" si="0"/>
        <v>-8</v>
      </c>
      <c r="D62" s="1">
        <v>-3</v>
      </c>
      <c r="E62" s="1">
        <f t="shared" si="1"/>
        <v>96</v>
      </c>
    </row>
    <row r="63" spans="1:5">
      <c r="A63" s="1">
        <v>62</v>
      </c>
      <c r="B63" s="1">
        <v>163</v>
      </c>
      <c r="C63" s="1">
        <f t="shared" ca="1" si="0"/>
        <v>-3</v>
      </c>
      <c r="D63" s="1">
        <v>13</v>
      </c>
      <c r="E63" s="1">
        <f t="shared" si="1"/>
        <v>74</v>
      </c>
    </row>
    <row r="64" spans="1:5">
      <c r="A64" s="1">
        <v>63</v>
      </c>
      <c r="B64" s="1">
        <v>180</v>
      </c>
      <c r="C64" s="1">
        <f t="shared" ca="1" si="0"/>
        <v>5</v>
      </c>
      <c r="D64" s="1">
        <v>-15</v>
      </c>
      <c r="E64" s="1">
        <f t="shared" si="1"/>
        <v>62</v>
      </c>
    </row>
    <row r="65" spans="1:5">
      <c r="A65" s="1">
        <v>64</v>
      </c>
      <c r="B65" s="1">
        <v>185</v>
      </c>
      <c r="C65" s="1">
        <f t="shared" ca="1" si="0"/>
        <v>15</v>
      </c>
      <c r="D65" s="1">
        <v>-3</v>
      </c>
      <c r="E65" s="1">
        <f t="shared" si="1"/>
        <v>79</v>
      </c>
    </row>
    <row r="66" spans="1:5">
      <c r="A66" s="1">
        <v>65</v>
      </c>
      <c r="B66" s="1">
        <v>204</v>
      </c>
      <c r="C66" s="1">
        <f t="shared" ca="1" si="0"/>
        <v>7</v>
      </c>
      <c r="D66" s="1">
        <v>11</v>
      </c>
      <c r="E66" s="1">
        <f t="shared" si="1"/>
        <v>111</v>
      </c>
    </row>
    <row r="67" spans="1:5">
      <c r="A67" s="1">
        <v>66</v>
      </c>
      <c r="B67" s="1">
        <v>210</v>
      </c>
      <c r="C67" s="1">
        <f t="shared" ref="C67:C101" ca="1" si="13">ROUND(RANDBETWEEN(-250,250)/15,0)</f>
        <v>-9</v>
      </c>
      <c r="D67" s="1">
        <v>11</v>
      </c>
      <c r="E67" s="1">
        <f t="shared" ref="E67:E101" si="14">ROUND(B67*$B$105+$B$104+D67,0)</f>
        <v>117</v>
      </c>
    </row>
    <row r="68" spans="1:5">
      <c r="A68" s="1">
        <v>67</v>
      </c>
      <c r="B68" s="1">
        <v>190</v>
      </c>
      <c r="C68" s="1">
        <f t="shared" ca="1" si="13"/>
        <v>-14</v>
      </c>
      <c r="D68" s="1">
        <v>0</v>
      </c>
      <c r="E68" s="1">
        <f t="shared" si="14"/>
        <v>87</v>
      </c>
    </row>
    <row r="69" spans="1:5">
      <c r="A69" s="1">
        <v>68</v>
      </c>
      <c r="B69" s="1">
        <v>162</v>
      </c>
      <c r="C69" s="1">
        <f t="shared" ca="1" si="13"/>
        <v>9</v>
      </c>
      <c r="D69" s="1">
        <v>6</v>
      </c>
      <c r="E69" s="1">
        <f t="shared" si="14"/>
        <v>66</v>
      </c>
    </row>
    <row r="70" spans="1:5">
      <c r="A70" s="1">
        <v>69</v>
      </c>
      <c r="B70" s="1">
        <v>157</v>
      </c>
      <c r="C70" s="1">
        <f t="shared" ca="1" si="13"/>
        <v>14</v>
      </c>
      <c r="D70" s="1">
        <v>4</v>
      </c>
      <c r="E70" s="1">
        <f t="shared" si="14"/>
        <v>59</v>
      </c>
    </row>
    <row r="71" spans="1:5">
      <c r="A71" s="1">
        <v>70</v>
      </c>
      <c r="B71" s="1">
        <v>164</v>
      </c>
      <c r="C71" s="1">
        <f t="shared" ca="1" si="13"/>
        <v>-9</v>
      </c>
      <c r="D71" s="1">
        <v>5</v>
      </c>
      <c r="E71" s="1">
        <f t="shared" si="14"/>
        <v>67</v>
      </c>
    </row>
    <row r="72" spans="1:5">
      <c r="A72" s="1">
        <v>71</v>
      </c>
      <c r="B72" s="1">
        <v>183</v>
      </c>
      <c r="C72" s="1">
        <f t="shared" ca="1" si="13"/>
        <v>14</v>
      </c>
      <c r="D72" s="1">
        <v>-9</v>
      </c>
      <c r="E72" s="1">
        <f t="shared" si="14"/>
        <v>71</v>
      </c>
    </row>
    <row r="73" spans="1:5">
      <c r="A73" s="1">
        <v>72</v>
      </c>
      <c r="B73" s="1">
        <v>158</v>
      </c>
      <c r="C73" s="1">
        <f t="shared" ca="1" si="13"/>
        <v>3</v>
      </c>
      <c r="D73" s="1">
        <v>-8</v>
      </c>
      <c r="E73" s="1">
        <f t="shared" si="14"/>
        <v>48</v>
      </c>
    </row>
    <row r="74" spans="1:5">
      <c r="A74" s="1">
        <v>73</v>
      </c>
      <c r="B74" s="1">
        <v>163</v>
      </c>
      <c r="C74" s="1">
        <f t="shared" ca="1" si="13"/>
        <v>3</v>
      </c>
      <c r="D74" s="1">
        <v>13</v>
      </c>
      <c r="E74" s="1">
        <f t="shared" si="14"/>
        <v>74</v>
      </c>
    </row>
    <row r="75" spans="1:5">
      <c r="A75" s="1">
        <v>74</v>
      </c>
      <c r="B75" s="1">
        <v>175</v>
      </c>
      <c r="C75" s="1">
        <f t="shared" ca="1" si="13"/>
        <v>2</v>
      </c>
      <c r="D75" s="1">
        <v>-2</v>
      </c>
      <c r="E75" s="1">
        <f t="shared" si="14"/>
        <v>70</v>
      </c>
    </row>
    <row r="76" spans="1:5">
      <c r="A76" s="1">
        <v>75</v>
      </c>
      <c r="B76" s="1">
        <v>172</v>
      </c>
      <c r="C76" s="1">
        <f t="shared" ca="1" si="13"/>
        <v>-8</v>
      </c>
      <c r="D76" s="1">
        <v>-13</v>
      </c>
      <c r="E76" s="1">
        <f t="shared" si="14"/>
        <v>56</v>
      </c>
    </row>
    <row r="77" spans="1:5">
      <c r="A77" s="1">
        <v>76</v>
      </c>
      <c r="B77" s="1">
        <v>157</v>
      </c>
      <c r="C77" s="1">
        <f t="shared" ca="1" si="13"/>
        <v>-13</v>
      </c>
      <c r="D77" s="1">
        <v>7</v>
      </c>
      <c r="E77" s="1">
        <f t="shared" si="14"/>
        <v>62</v>
      </c>
    </row>
    <row r="78" spans="1:5">
      <c r="A78" s="1">
        <v>77</v>
      </c>
      <c r="B78" s="1">
        <v>168</v>
      </c>
      <c r="C78" s="1">
        <f t="shared" ca="1" si="13"/>
        <v>-6</v>
      </c>
      <c r="D78" s="1">
        <v>-9</v>
      </c>
      <c r="E78" s="1">
        <f t="shared" si="14"/>
        <v>57</v>
      </c>
    </row>
    <row r="79" spans="1:5">
      <c r="A79" s="1">
        <v>78</v>
      </c>
      <c r="B79" s="1">
        <v>158</v>
      </c>
      <c r="C79" s="1">
        <f t="shared" ca="1" si="13"/>
        <v>2</v>
      </c>
      <c r="D79" s="1">
        <v>0</v>
      </c>
      <c r="E79" s="1">
        <f t="shared" si="14"/>
        <v>56</v>
      </c>
    </row>
    <row r="80" spans="1:5">
      <c r="A80" s="1">
        <v>79</v>
      </c>
      <c r="B80" s="1">
        <v>195</v>
      </c>
      <c r="C80" s="1">
        <f t="shared" ca="1" si="13"/>
        <v>-17</v>
      </c>
      <c r="D80" s="1">
        <v>-1</v>
      </c>
      <c r="E80" s="1">
        <f t="shared" si="14"/>
        <v>90</v>
      </c>
    </row>
    <row r="81" spans="1:5">
      <c r="A81" s="1">
        <v>80</v>
      </c>
      <c r="B81" s="1">
        <v>203</v>
      </c>
      <c r="C81" s="1">
        <f t="shared" ca="1" si="13"/>
        <v>-9</v>
      </c>
      <c r="D81" s="1">
        <v>-1</v>
      </c>
      <c r="E81" s="1">
        <f t="shared" si="14"/>
        <v>98</v>
      </c>
    </row>
    <row r="82" spans="1:5">
      <c r="A82" s="1">
        <v>81</v>
      </c>
      <c r="B82" s="1">
        <v>161</v>
      </c>
      <c r="C82" s="1">
        <f t="shared" ca="1" si="13"/>
        <v>-4</v>
      </c>
      <c r="D82" s="1">
        <v>3</v>
      </c>
      <c r="E82" s="1">
        <f t="shared" si="14"/>
        <v>62</v>
      </c>
    </row>
    <row r="83" spans="1:5">
      <c r="A83" s="1">
        <v>82</v>
      </c>
      <c r="B83" s="1">
        <v>189</v>
      </c>
      <c r="C83" s="1">
        <f t="shared" ca="1" si="13"/>
        <v>-11</v>
      </c>
      <c r="D83" s="1">
        <v>-7</v>
      </c>
      <c r="E83" s="1">
        <f t="shared" si="14"/>
        <v>79</v>
      </c>
    </row>
    <row r="84" spans="1:5">
      <c r="A84" s="1">
        <v>83</v>
      </c>
      <c r="B84" s="1">
        <v>185</v>
      </c>
      <c r="C84" s="1">
        <f t="shared" ca="1" si="13"/>
        <v>-11</v>
      </c>
      <c r="D84" s="1">
        <v>-11</v>
      </c>
      <c r="E84" s="1">
        <f t="shared" si="14"/>
        <v>71</v>
      </c>
    </row>
    <row r="85" spans="1:5">
      <c r="A85" s="1">
        <v>84</v>
      </c>
      <c r="B85" s="1">
        <v>154</v>
      </c>
      <c r="C85" s="1">
        <f t="shared" ca="1" si="13"/>
        <v>4</v>
      </c>
      <c r="D85" s="1">
        <v>-4</v>
      </c>
      <c r="E85" s="1">
        <f t="shared" si="14"/>
        <v>48</v>
      </c>
    </row>
    <row r="86" spans="1:5">
      <c r="A86" s="1">
        <v>85</v>
      </c>
      <c r="B86" s="1">
        <v>179</v>
      </c>
      <c r="C86" s="1">
        <f t="shared" ca="1" si="13"/>
        <v>-8</v>
      </c>
      <c r="D86" s="1">
        <v>-10</v>
      </c>
      <c r="E86" s="1">
        <f t="shared" si="14"/>
        <v>66</v>
      </c>
    </row>
    <row r="87" spans="1:5">
      <c r="A87" s="1">
        <v>86</v>
      </c>
      <c r="B87" s="1">
        <v>174</v>
      </c>
      <c r="C87" s="1">
        <f t="shared" ca="1" si="13"/>
        <v>16</v>
      </c>
      <c r="D87" s="1">
        <v>-4</v>
      </c>
      <c r="E87" s="1">
        <f t="shared" si="14"/>
        <v>67</v>
      </c>
    </row>
    <row r="88" spans="1:5">
      <c r="A88" s="1">
        <v>87</v>
      </c>
      <c r="B88" s="1">
        <v>189</v>
      </c>
      <c r="C88" s="1">
        <f t="shared" ca="1" si="13"/>
        <v>11</v>
      </c>
      <c r="D88" s="1">
        <v>-11</v>
      </c>
      <c r="E88" s="1">
        <f t="shared" si="14"/>
        <v>75</v>
      </c>
    </row>
    <row r="89" spans="1:5">
      <c r="A89" s="1">
        <v>88</v>
      </c>
      <c r="B89" s="1">
        <v>184</v>
      </c>
      <c r="C89" s="1">
        <f t="shared" ca="1" si="13"/>
        <v>-12</v>
      </c>
      <c r="D89" s="1">
        <v>-2</v>
      </c>
      <c r="E89" s="1">
        <f t="shared" si="14"/>
        <v>79</v>
      </c>
    </row>
    <row r="90" spans="1:5">
      <c r="A90" s="1">
        <v>89</v>
      </c>
      <c r="B90" s="1">
        <v>205</v>
      </c>
      <c r="C90" s="1">
        <f t="shared" ca="1" si="13"/>
        <v>-5</v>
      </c>
      <c r="D90" s="1">
        <v>-8</v>
      </c>
      <c r="E90" s="1">
        <f t="shared" si="14"/>
        <v>93</v>
      </c>
    </row>
    <row r="91" spans="1:5">
      <c r="A91" s="1">
        <v>90</v>
      </c>
      <c r="B91" s="1">
        <v>185</v>
      </c>
      <c r="C91" s="1">
        <f t="shared" ca="1" si="13"/>
        <v>3</v>
      </c>
      <c r="D91" s="1">
        <v>16</v>
      </c>
      <c r="E91" s="1">
        <f t="shared" si="14"/>
        <v>98</v>
      </c>
    </row>
    <row r="92" spans="1:5">
      <c r="A92" s="1">
        <v>91</v>
      </c>
      <c r="B92" s="1">
        <v>163</v>
      </c>
      <c r="C92" s="1">
        <f t="shared" ca="1" si="13"/>
        <v>15</v>
      </c>
      <c r="D92" s="1">
        <v>8</v>
      </c>
      <c r="E92" s="1">
        <f t="shared" si="14"/>
        <v>69</v>
      </c>
    </row>
    <row r="93" spans="1:5">
      <c r="A93" s="1">
        <v>92</v>
      </c>
      <c r="B93" s="1">
        <v>161</v>
      </c>
      <c r="C93" s="1">
        <f t="shared" ca="1" si="13"/>
        <v>-1</v>
      </c>
      <c r="D93" s="1">
        <v>1</v>
      </c>
      <c r="E93" s="1">
        <f t="shared" si="14"/>
        <v>60</v>
      </c>
    </row>
    <row r="94" spans="1:5">
      <c r="A94" s="1">
        <v>93</v>
      </c>
      <c r="B94" s="1">
        <v>202</v>
      </c>
      <c r="C94" s="1">
        <f t="shared" ca="1" si="13"/>
        <v>11</v>
      </c>
      <c r="D94" s="1">
        <v>-9</v>
      </c>
      <c r="E94" s="1">
        <f t="shared" si="14"/>
        <v>89</v>
      </c>
    </row>
    <row r="95" spans="1:5">
      <c r="A95" s="1">
        <v>94</v>
      </c>
      <c r="B95" s="1">
        <v>165</v>
      </c>
      <c r="C95" s="1">
        <f t="shared" ca="1" si="13"/>
        <v>8</v>
      </c>
      <c r="D95" s="1">
        <v>-16</v>
      </c>
      <c r="E95" s="1">
        <f t="shared" si="14"/>
        <v>47</v>
      </c>
    </row>
    <row r="96" spans="1:5">
      <c r="A96" s="1">
        <v>95</v>
      </c>
      <c r="B96" s="1">
        <v>181</v>
      </c>
      <c r="C96" s="1">
        <f t="shared" ca="1" si="13"/>
        <v>-13</v>
      </c>
      <c r="D96" s="1">
        <v>15</v>
      </c>
      <c r="E96" s="1">
        <f t="shared" si="14"/>
        <v>93</v>
      </c>
    </row>
    <row r="97" spans="1:5">
      <c r="A97" s="1">
        <v>96</v>
      </c>
      <c r="B97" s="1">
        <v>176</v>
      </c>
      <c r="C97" s="1">
        <f t="shared" ca="1" si="13"/>
        <v>-15</v>
      </c>
      <c r="D97" s="1">
        <v>-15</v>
      </c>
      <c r="E97" s="1">
        <f t="shared" si="14"/>
        <v>58</v>
      </c>
    </row>
    <row r="98" spans="1:5">
      <c r="A98" s="1">
        <v>97</v>
      </c>
      <c r="B98" s="1">
        <v>162</v>
      </c>
      <c r="C98" s="1">
        <f t="shared" ca="1" si="13"/>
        <v>-10</v>
      </c>
      <c r="D98" s="1">
        <v>5</v>
      </c>
      <c r="E98" s="1">
        <f t="shared" si="14"/>
        <v>65</v>
      </c>
    </row>
    <row r="99" spans="1:5">
      <c r="A99" s="1">
        <v>98</v>
      </c>
      <c r="B99" s="1">
        <v>202</v>
      </c>
      <c r="C99" s="1">
        <f t="shared" ca="1" si="13"/>
        <v>-3</v>
      </c>
      <c r="D99" s="1">
        <v>10</v>
      </c>
      <c r="E99" s="1">
        <f t="shared" si="14"/>
        <v>108</v>
      </c>
    </row>
    <row r="100" spans="1:5">
      <c r="A100" s="1">
        <v>99</v>
      </c>
      <c r="B100" s="1">
        <v>196</v>
      </c>
      <c r="C100" s="1">
        <f t="shared" ca="1" si="13"/>
        <v>7</v>
      </c>
      <c r="D100" s="1">
        <v>-2</v>
      </c>
      <c r="E100" s="1">
        <f t="shared" si="14"/>
        <v>90</v>
      </c>
    </row>
    <row r="101" spans="1:5">
      <c r="A101" s="1">
        <v>100</v>
      </c>
      <c r="B101" s="1">
        <v>205</v>
      </c>
      <c r="C101" s="1">
        <f t="shared" ca="1" si="13"/>
        <v>0</v>
      </c>
      <c r="D101" s="1">
        <v>3</v>
      </c>
      <c r="E101" s="1">
        <f t="shared" si="14"/>
        <v>104</v>
      </c>
    </row>
    <row r="104" spans="1:5">
      <c r="A104" t="s">
        <v>27</v>
      </c>
      <c r="B104">
        <v>-94</v>
      </c>
    </row>
    <row r="105" spans="1:5">
      <c r="A105" t="s">
        <v>26</v>
      </c>
      <c r="B105">
        <v>0.95</v>
      </c>
    </row>
  </sheetData>
  <sortState ref="H2:O11">
    <sortCondition ref="O2:O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Подготовка данных</vt:lpstr>
      <vt:lpstr>Датасет</vt:lpstr>
      <vt:lpstr>Метрики</vt:lpstr>
      <vt:lpstr>Кластеризация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Nikitos</dc:creator>
  <cp:lastModifiedBy>Nikitos</cp:lastModifiedBy>
  <dcterms:created xsi:type="dcterms:W3CDTF">2025-08-25T16:08:51Z</dcterms:created>
  <dcterms:modified xsi:type="dcterms:W3CDTF">2025-08-25T17:27:33Z</dcterms:modified>
</cp:coreProperties>
</file>